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5" rupBuild="4505" codeName="{37E998C4-C9E5-D4B9-71C8-EB1FF731991C}"/>
  <workbookPr filterPrivacy="1" codeName="ThisWorkbook" defaultThemeVersion="124226"/>
  <bookViews>
    <workbookView xWindow="-1170" yWindow="240" windowWidth="8670" windowHeight="7260" firstSheet="2" activeTab="4"/>
  </bookViews>
  <sheets>
    <sheet name="Notes" sheetId="10" r:id="rId1"/>
    <sheet name="Option Price Calculator" sheetId="5" r:id="rId2"/>
    <sheet name="Implied Volatility Calculator" sheetId="23" r:id="rId3"/>
    <sheet name="Sheet1" sheetId="24" r:id="rId4"/>
    <sheet name="Sheet2" sheetId="25" r:id="rId5"/>
    <sheet name="Price Automation" sheetId="26" r:id="rId6"/>
  </sheets>
  <functionGroups/>
  <calcPr calcId="124519"/>
</workbook>
</file>

<file path=xl/calcChain.xml><?xml version="1.0" encoding="utf-8"?>
<calcChain xmlns="http://schemas.openxmlformats.org/spreadsheetml/2006/main">
  <c r="E117" i="25"/>
  <c r="AE7" i="24"/>
  <c r="AE12"/>
  <c r="AE17"/>
  <c r="AE21"/>
  <c r="AE26"/>
  <c r="AE30"/>
  <c r="AE34"/>
  <c r="R18"/>
  <c r="R19"/>
  <c r="T19" s="1"/>
  <c r="R20"/>
  <c r="R21"/>
  <c r="T21" s="1"/>
  <c r="R22"/>
  <c r="R23"/>
  <c r="T23" s="1"/>
  <c r="R24"/>
  <c r="R25"/>
  <c r="T25" s="1"/>
  <c r="R26"/>
  <c r="R27"/>
  <c r="T27" s="1"/>
  <c r="R28"/>
  <c r="R29"/>
  <c r="T29" s="1"/>
  <c r="R30"/>
  <c r="R31"/>
  <c r="T31" s="1"/>
  <c r="R32"/>
  <c r="R33"/>
  <c r="T33" s="1"/>
  <c r="R34"/>
  <c r="R35"/>
  <c r="T35" s="1"/>
  <c r="R36"/>
  <c r="R37"/>
  <c r="T37" s="1"/>
  <c r="R38"/>
  <c r="R39"/>
  <c r="T39" s="1"/>
  <c r="R40"/>
  <c r="R41"/>
  <c r="T41" s="1"/>
  <c r="R42"/>
  <c r="R43"/>
  <c r="T43" s="1"/>
  <c r="R44"/>
  <c r="R45"/>
  <c r="T45" s="1"/>
  <c r="R46"/>
  <c r="R47"/>
  <c r="T47" s="1"/>
  <c r="R48"/>
  <c r="R49"/>
  <c r="T49" s="1"/>
  <c r="R50"/>
  <c r="R51"/>
  <c r="T51" s="1"/>
  <c r="R52"/>
  <c r="R53"/>
  <c r="T53" s="1"/>
  <c r="R54"/>
  <c r="R55"/>
  <c r="T55" s="1"/>
  <c r="R56"/>
  <c r="R57"/>
  <c r="T57" s="1"/>
  <c r="R58"/>
  <c r="R59"/>
  <c r="T59" s="1"/>
  <c r="R60"/>
  <c r="R61"/>
  <c r="T61" s="1"/>
  <c r="R62"/>
  <c r="R63"/>
  <c r="T63" s="1"/>
  <c r="R64"/>
  <c r="R65"/>
  <c r="T65" s="1"/>
  <c r="R66"/>
  <c r="R67"/>
  <c r="T67" s="1"/>
  <c r="R68"/>
  <c r="R69"/>
  <c r="T69" s="1"/>
  <c r="R70"/>
  <c r="R71"/>
  <c r="T71" s="1"/>
  <c r="R72"/>
  <c r="R73"/>
  <c r="T73" s="1"/>
  <c r="R74"/>
  <c r="R75"/>
  <c r="T75" s="1"/>
  <c r="R76"/>
  <c r="R77"/>
  <c r="T77" s="1"/>
  <c r="R78"/>
  <c r="R79"/>
  <c r="T79" s="1"/>
  <c r="R80"/>
  <c r="R81"/>
  <c r="T81" s="1"/>
  <c r="R82"/>
  <c r="R83"/>
  <c r="T83" s="1"/>
  <c r="R84"/>
  <c r="R85"/>
  <c r="T85" s="1"/>
  <c r="R86"/>
  <c r="R87"/>
  <c r="T87" s="1"/>
  <c r="R88"/>
  <c r="R89"/>
  <c r="T89" s="1"/>
  <c r="R90"/>
  <c r="R91"/>
  <c r="T91" s="1"/>
  <c r="R92"/>
  <c r="R93"/>
  <c r="T93" s="1"/>
  <c r="R94"/>
  <c r="R95"/>
  <c r="T95" s="1"/>
  <c r="R96"/>
  <c r="R97"/>
  <c r="T97" s="1"/>
  <c r="R98"/>
  <c r="R99"/>
  <c r="T99" s="1"/>
  <c r="R100"/>
  <c r="R101"/>
  <c r="T101" s="1"/>
  <c r="R102"/>
  <c r="R103"/>
  <c r="T103" s="1"/>
  <c r="R104"/>
  <c r="R105"/>
  <c r="T105" s="1"/>
  <c r="R106"/>
  <c r="R107"/>
  <c r="T107" s="1"/>
  <c r="R108"/>
  <c r="R109"/>
  <c r="T109" s="1"/>
  <c r="R110"/>
  <c r="R111"/>
  <c r="T111" s="1"/>
  <c r="R112"/>
  <c r="R113"/>
  <c r="T113" s="1"/>
  <c r="R114"/>
  <c r="R115"/>
  <c r="T115" s="1"/>
  <c r="R116"/>
  <c r="R117"/>
  <c r="T117" s="1"/>
  <c r="R118"/>
  <c r="R119"/>
  <c r="T119" s="1"/>
  <c r="R120"/>
  <c r="R121"/>
  <c r="T121" s="1"/>
  <c r="R122"/>
  <c r="R123"/>
  <c r="T123" s="1"/>
  <c r="R124"/>
  <c r="R125"/>
  <c r="T125" s="1"/>
  <c r="R126"/>
  <c r="R127"/>
  <c r="T127" s="1"/>
  <c r="R128"/>
  <c r="R129"/>
  <c r="T129" s="1"/>
  <c r="R130"/>
  <c r="R131"/>
  <c r="T131" s="1"/>
  <c r="R132"/>
  <c r="R133"/>
  <c r="T133" s="1"/>
  <c r="R134"/>
  <c r="R135"/>
  <c r="T135" s="1"/>
  <c r="R136"/>
  <c r="R137"/>
  <c r="T137" s="1"/>
  <c r="R138"/>
  <c r="R139"/>
  <c r="T139" s="1"/>
  <c r="R140"/>
  <c r="R141"/>
  <c r="T141" s="1"/>
  <c r="R142"/>
  <c r="R143"/>
  <c r="T143" s="1"/>
  <c r="R144"/>
  <c r="R145"/>
  <c r="T145" s="1"/>
  <c r="R146"/>
  <c r="R147"/>
  <c r="T147" s="1"/>
  <c r="R148"/>
  <c r="R149"/>
  <c r="T149" s="1"/>
  <c r="R150"/>
  <c r="R151"/>
  <c r="T151" s="1"/>
  <c r="R152"/>
  <c r="R153"/>
  <c r="T153" s="1"/>
  <c r="R154"/>
  <c r="R155"/>
  <c r="T155" s="1"/>
  <c r="R156"/>
  <c r="R157"/>
  <c r="T157" s="1"/>
  <c r="R158"/>
  <c r="R159"/>
  <c r="T159" s="1"/>
  <c r="R160"/>
  <c r="R161"/>
  <c r="T161" s="1"/>
  <c r="R162"/>
  <c r="R163"/>
  <c r="T163" s="1"/>
  <c r="R164"/>
  <c r="R165"/>
  <c r="T165" s="1"/>
  <c r="R166"/>
  <c r="R167"/>
  <c r="T167" s="1"/>
  <c r="R168"/>
  <c r="R169"/>
  <c r="T169" s="1"/>
  <c r="R170"/>
  <c r="R171"/>
  <c r="T171" s="1"/>
  <c r="R172"/>
  <c r="R173"/>
  <c r="T173" s="1"/>
  <c r="R174"/>
  <c r="R175"/>
  <c r="T175" s="1"/>
  <c r="R176"/>
  <c r="R177"/>
  <c r="T177" s="1"/>
  <c r="R178"/>
  <c r="R179"/>
  <c r="T179" s="1"/>
  <c r="R180"/>
  <c r="R181"/>
  <c r="T181" s="1"/>
  <c r="R182"/>
  <c r="R183"/>
  <c r="T183" s="1"/>
  <c r="R184"/>
  <c r="R185"/>
  <c r="T185" s="1"/>
  <c r="R186"/>
  <c r="R187"/>
  <c r="T187" s="1"/>
  <c r="R188"/>
  <c r="R189"/>
  <c r="T189" s="1"/>
  <c r="R190"/>
  <c r="R191"/>
  <c r="T191" s="1"/>
  <c r="R192"/>
  <c r="R193"/>
  <c r="T193" s="1"/>
  <c r="R194"/>
  <c r="R195"/>
  <c r="T195" s="1"/>
  <c r="R196"/>
  <c r="R197"/>
  <c r="T197" s="1"/>
  <c r="R198"/>
  <c r="R199"/>
  <c r="T199" s="1"/>
  <c r="R200"/>
  <c r="R201"/>
  <c r="T201" s="1"/>
  <c r="R202"/>
  <c r="R203"/>
  <c r="T203" s="1"/>
  <c r="R204"/>
  <c r="R205"/>
  <c r="T205" s="1"/>
  <c r="R206"/>
  <c r="R207"/>
  <c r="T207" s="1"/>
  <c r="R208"/>
  <c r="R209"/>
  <c r="T209" s="1"/>
  <c r="R210"/>
  <c r="R211"/>
  <c r="T211" s="1"/>
  <c r="R212"/>
  <c r="R213"/>
  <c r="T213" s="1"/>
  <c r="R214"/>
  <c r="R215"/>
  <c r="T215" s="1"/>
  <c r="R216"/>
  <c r="R217"/>
  <c r="T217" s="1"/>
  <c r="R218"/>
  <c r="R219"/>
  <c r="T219" s="1"/>
  <c r="R220"/>
  <c r="R221"/>
  <c r="T221" s="1"/>
  <c r="R222"/>
  <c r="R223"/>
  <c r="T223" s="1"/>
  <c r="R224"/>
  <c r="R225"/>
  <c r="T225" s="1"/>
  <c r="R226"/>
  <c r="R227"/>
  <c r="T227" s="1"/>
  <c r="R228"/>
  <c r="R229"/>
  <c r="T229" s="1"/>
  <c r="R230"/>
  <c r="R231"/>
  <c r="T231" s="1"/>
  <c r="R232"/>
  <c r="R233"/>
  <c r="T233" s="1"/>
  <c r="R234"/>
  <c r="R235"/>
  <c r="T235" s="1"/>
  <c r="R236"/>
  <c r="R237"/>
  <c r="T237" s="1"/>
  <c r="R238"/>
  <c r="R239"/>
  <c r="T239" s="1"/>
  <c r="R240"/>
  <c r="R241"/>
  <c r="T241" s="1"/>
  <c r="R242"/>
  <c r="R243"/>
  <c r="T243" s="1"/>
  <c r="R244"/>
  <c r="R245"/>
  <c r="T245" s="1"/>
  <c r="R246"/>
  <c r="R247"/>
  <c r="T247" s="1"/>
  <c r="R248"/>
  <c r="R249"/>
  <c r="T249" s="1"/>
  <c r="R250"/>
  <c r="R251"/>
  <c r="T251" s="1"/>
  <c r="R252"/>
  <c r="R253"/>
  <c r="T253" s="1"/>
  <c r="R254"/>
  <c r="R255"/>
  <c r="T255" s="1"/>
  <c r="R256"/>
  <c r="R257"/>
  <c r="T257" s="1"/>
  <c r="R258"/>
  <c r="R259"/>
  <c r="T259" s="1"/>
  <c r="R260"/>
  <c r="R261"/>
  <c r="T261" s="1"/>
  <c r="R262"/>
  <c r="R263"/>
  <c r="T263" s="1"/>
  <c r="R264"/>
  <c r="R265"/>
  <c r="T265" s="1"/>
  <c r="R266"/>
  <c r="R267"/>
  <c r="T267" s="1"/>
  <c r="R268"/>
  <c r="R269"/>
  <c r="T269" s="1"/>
  <c r="R270"/>
  <c r="R271"/>
  <c r="T271" s="1"/>
  <c r="R272"/>
  <c r="R273"/>
  <c r="T273" s="1"/>
  <c r="R274"/>
  <c r="R275"/>
  <c r="T275" s="1"/>
  <c r="R276"/>
  <c r="R277"/>
  <c r="T277" s="1"/>
  <c r="R278"/>
  <c r="R4"/>
  <c r="R5"/>
  <c r="S5" s="1"/>
  <c r="R6"/>
  <c r="R7"/>
  <c r="S7" s="1"/>
  <c r="R8"/>
  <c r="R9"/>
  <c r="S9" s="1"/>
  <c r="R10"/>
  <c r="R11"/>
  <c r="S11" s="1"/>
  <c r="R12"/>
  <c r="R13"/>
  <c r="S13" s="1"/>
  <c r="R14"/>
  <c r="R15"/>
  <c r="S15" s="1"/>
  <c r="R16"/>
  <c r="R17"/>
  <c r="S17" s="1"/>
  <c r="T4"/>
  <c r="T5"/>
  <c r="T6"/>
  <c r="T7"/>
  <c r="T8"/>
  <c r="T9"/>
  <c r="T10"/>
  <c r="T11"/>
  <c r="T12"/>
  <c r="T13"/>
  <c r="T14"/>
  <c r="T15"/>
  <c r="T16"/>
  <c r="T17"/>
  <c r="T18"/>
  <c r="T20"/>
  <c r="T22"/>
  <c r="T24"/>
  <c r="T26"/>
  <c r="T28"/>
  <c r="T30"/>
  <c r="T32"/>
  <c r="T34"/>
  <c r="T36"/>
  <c r="T38"/>
  <c r="T40"/>
  <c r="T42"/>
  <c r="T44"/>
  <c r="T46"/>
  <c r="T48"/>
  <c r="T50"/>
  <c r="T52"/>
  <c r="T54"/>
  <c r="T56"/>
  <c r="T58"/>
  <c r="T60"/>
  <c r="T62"/>
  <c r="T64"/>
  <c r="T66"/>
  <c r="T68"/>
  <c r="T70"/>
  <c r="T72"/>
  <c r="T74"/>
  <c r="T76"/>
  <c r="T78"/>
  <c r="T80"/>
  <c r="T82"/>
  <c r="T84"/>
  <c r="T86"/>
  <c r="T88"/>
  <c r="T90"/>
  <c r="T92"/>
  <c r="T94"/>
  <c r="T96"/>
  <c r="T98"/>
  <c r="T100"/>
  <c r="T102"/>
  <c r="T104"/>
  <c r="T106"/>
  <c r="T108"/>
  <c r="T110"/>
  <c r="T112"/>
  <c r="T114"/>
  <c r="T116"/>
  <c r="T118"/>
  <c r="T120"/>
  <c r="T122"/>
  <c r="T124"/>
  <c r="T126"/>
  <c r="T128"/>
  <c r="T130"/>
  <c r="T132"/>
  <c r="T134"/>
  <c r="T136"/>
  <c r="T138"/>
  <c r="T140"/>
  <c r="T142"/>
  <c r="T144"/>
  <c r="T146"/>
  <c r="T148"/>
  <c r="T150"/>
  <c r="T152"/>
  <c r="T154"/>
  <c r="T156"/>
  <c r="T158"/>
  <c r="T160"/>
  <c r="T162"/>
  <c r="T164"/>
  <c r="T166"/>
  <c r="T168"/>
  <c r="T170"/>
  <c r="T172"/>
  <c r="T174"/>
  <c r="T176"/>
  <c r="T178"/>
  <c r="T180"/>
  <c r="T182"/>
  <c r="T184"/>
  <c r="T186"/>
  <c r="T188"/>
  <c r="T190"/>
  <c r="T192"/>
  <c r="T194"/>
  <c r="T196"/>
  <c r="T198"/>
  <c r="T200"/>
  <c r="T202"/>
  <c r="T204"/>
  <c r="T206"/>
  <c r="T208"/>
  <c r="T210"/>
  <c r="T212"/>
  <c r="T214"/>
  <c r="T216"/>
  <c r="T218"/>
  <c r="T220"/>
  <c r="T222"/>
  <c r="T224"/>
  <c r="T226"/>
  <c r="T228"/>
  <c r="T230"/>
  <c r="T232"/>
  <c r="T234"/>
  <c r="T236"/>
  <c r="T238"/>
  <c r="T240"/>
  <c r="T242"/>
  <c r="T244"/>
  <c r="T246"/>
  <c r="T248"/>
  <c r="T250"/>
  <c r="T252"/>
  <c r="T254"/>
  <c r="T256"/>
  <c r="T258"/>
  <c r="T260"/>
  <c r="T262"/>
  <c r="T264"/>
  <c r="T266"/>
  <c r="T268"/>
  <c r="T270"/>
  <c r="T272"/>
  <c r="T274"/>
  <c r="T276"/>
  <c r="T278"/>
  <c r="S58"/>
  <c r="S60"/>
  <c r="S62"/>
  <c r="S64"/>
  <c r="S66"/>
  <c r="S68"/>
  <c r="S70"/>
  <c r="S72"/>
  <c r="S74"/>
  <c r="S76"/>
  <c r="S78"/>
  <c r="S80"/>
  <c r="S82"/>
  <c r="S84"/>
  <c r="S86"/>
  <c r="S88"/>
  <c r="S90"/>
  <c r="S92"/>
  <c r="S94"/>
  <c r="S96"/>
  <c r="S98"/>
  <c r="S100"/>
  <c r="S102"/>
  <c r="S104"/>
  <c r="S106"/>
  <c r="S108"/>
  <c r="S110"/>
  <c r="S112"/>
  <c r="S114"/>
  <c r="S116"/>
  <c r="S118"/>
  <c r="S120"/>
  <c r="S122"/>
  <c r="S124"/>
  <c r="S126"/>
  <c r="S128"/>
  <c r="S130"/>
  <c r="S132"/>
  <c r="S133"/>
  <c r="S134"/>
  <c r="S135"/>
  <c r="S136"/>
  <c r="S137"/>
  <c r="S138"/>
  <c r="S139"/>
  <c r="S140"/>
  <c r="S141"/>
  <c r="S142"/>
  <c r="S143"/>
  <c r="S144"/>
  <c r="S145"/>
  <c r="S146"/>
  <c r="S147"/>
  <c r="S148"/>
  <c r="S149"/>
  <c r="S150"/>
  <c r="S151"/>
  <c r="S152"/>
  <c r="S153"/>
  <c r="S154"/>
  <c r="S155"/>
  <c r="S156"/>
  <c r="S157"/>
  <c r="S158"/>
  <c r="S159"/>
  <c r="S160"/>
  <c r="S161"/>
  <c r="S162"/>
  <c r="S163"/>
  <c r="S164"/>
  <c r="S165"/>
  <c r="S166"/>
  <c r="S167"/>
  <c r="S168"/>
  <c r="S169"/>
  <c r="S170"/>
  <c r="S171"/>
  <c r="S172"/>
  <c r="S173"/>
  <c r="S174"/>
  <c r="S175"/>
  <c r="S176"/>
  <c r="S177"/>
  <c r="S178"/>
  <c r="S179"/>
  <c r="S180"/>
  <c r="S181"/>
  <c r="S182"/>
  <c r="S183"/>
  <c r="S184"/>
  <c r="S185"/>
  <c r="S186"/>
  <c r="S187"/>
  <c r="S188"/>
  <c r="S189"/>
  <c r="S190"/>
  <c r="S191"/>
  <c r="S192"/>
  <c r="S193"/>
  <c r="S194"/>
  <c r="S195"/>
  <c r="S196"/>
  <c r="S197"/>
  <c r="S198"/>
  <c r="S199"/>
  <c r="S200"/>
  <c r="S201"/>
  <c r="S202"/>
  <c r="S203"/>
  <c r="S204"/>
  <c r="S205"/>
  <c r="S206"/>
  <c r="S207"/>
  <c r="S208"/>
  <c r="S209"/>
  <c r="S210"/>
  <c r="S211"/>
  <c r="S212"/>
  <c r="S213"/>
  <c r="S214"/>
  <c r="S215"/>
  <c r="S216"/>
  <c r="S217"/>
  <c r="S218"/>
  <c r="S219"/>
  <c r="S220"/>
  <c r="S221"/>
  <c r="S222"/>
  <c r="S223"/>
  <c r="S224"/>
  <c r="S225"/>
  <c r="S226"/>
  <c r="S227"/>
  <c r="S228"/>
  <c r="S229"/>
  <c r="S230"/>
  <c r="S231"/>
  <c r="S232"/>
  <c r="S233"/>
  <c r="S234"/>
  <c r="S235"/>
  <c r="S236"/>
  <c r="S237"/>
  <c r="S238"/>
  <c r="S239"/>
  <c r="S240"/>
  <c r="S241"/>
  <c r="S242"/>
  <c r="S243"/>
  <c r="S244"/>
  <c r="S245"/>
  <c r="S246"/>
  <c r="S247"/>
  <c r="S248"/>
  <c r="S249"/>
  <c r="S250"/>
  <c r="S251"/>
  <c r="S252"/>
  <c r="S253"/>
  <c r="S254"/>
  <c r="S255"/>
  <c r="S256"/>
  <c r="S257"/>
  <c r="S258"/>
  <c r="S259"/>
  <c r="S260"/>
  <c r="S261"/>
  <c r="S262"/>
  <c r="S263"/>
  <c r="S264"/>
  <c r="S265"/>
  <c r="S266"/>
  <c r="S267"/>
  <c r="S268"/>
  <c r="S269"/>
  <c r="S270"/>
  <c r="S271"/>
  <c r="S272"/>
  <c r="S273"/>
  <c r="S274"/>
  <c r="S275"/>
  <c r="S276"/>
  <c r="S277"/>
  <c r="S278"/>
  <c r="S4"/>
  <c r="S6"/>
  <c r="S8"/>
  <c r="S10"/>
  <c r="S12"/>
  <c r="S14"/>
  <c r="S16"/>
  <c r="S18"/>
  <c r="S19"/>
  <c r="S20"/>
  <c r="S21"/>
  <c r="S22"/>
  <c r="S23"/>
  <c r="S24"/>
  <c r="S25"/>
  <c r="S26"/>
  <c r="S27"/>
  <c r="S28"/>
  <c r="S29"/>
  <c r="S30"/>
  <c r="S31"/>
  <c r="S32"/>
  <c r="S33"/>
  <c r="S34"/>
  <c r="S35"/>
  <c r="S36"/>
  <c r="S37"/>
  <c r="S38"/>
  <c r="S39"/>
  <c r="S40"/>
  <c r="S41"/>
  <c r="S42"/>
  <c r="S43"/>
  <c r="S44"/>
  <c r="S45"/>
  <c r="S46"/>
  <c r="S47"/>
  <c r="S48"/>
  <c r="S49"/>
  <c r="S50"/>
  <c r="S51"/>
  <c r="S52"/>
  <c r="S53"/>
  <c r="S54"/>
  <c r="S55"/>
  <c r="S56"/>
  <c r="T3"/>
  <c r="S3"/>
  <c r="R3"/>
  <c r="S131" l="1"/>
  <c r="S129"/>
  <c r="S127"/>
  <c r="S125"/>
  <c r="S123"/>
  <c r="S121"/>
  <c r="S119"/>
  <c r="S117"/>
  <c r="S115"/>
  <c r="S113"/>
  <c r="S111"/>
  <c r="S109"/>
  <c r="S107"/>
  <c r="S105"/>
  <c r="S103"/>
  <c r="S101"/>
  <c r="S99"/>
  <c r="S97"/>
  <c r="S95"/>
  <c r="S93"/>
  <c r="S91"/>
  <c r="S89"/>
  <c r="S87"/>
  <c r="S85"/>
  <c r="S83"/>
  <c r="S81"/>
  <c r="S79"/>
  <c r="S77"/>
  <c r="S75"/>
  <c r="S73"/>
  <c r="S71"/>
  <c r="S69"/>
  <c r="S67"/>
  <c r="S65"/>
  <c r="S63"/>
  <c r="S61"/>
  <c r="S59"/>
  <c r="S57"/>
  <c r="AF3"/>
  <c r="AF4" s="1"/>
  <c r="AF5" s="1"/>
  <c r="AF6" s="1"/>
  <c r="AF7" s="1"/>
  <c r="AF8" s="1"/>
  <c r="AF9" s="1"/>
  <c r="AF10" s="1"/>
  <c r="AF11" s="1"/>
  <c r="AF12" s="1"/>
  <c r="AF13" s="1"/>
  <c r="AF14" s="1"/>
  <c r="AF15" s="1"/>
  <c r="AF16" s="1"/>
  <c r="AF17" s="1"/>
  <c r="AF18" s="1"/>
  <c r="AF19" s="1"/>
  <c r="AF20" s="1"/>
  <c r="AF21" s="1"/>
  <c r="AF22" s="1"/>
  <c r="AF23" s="1"/>
  <c r="AF24" s="1"/>
  <c r="AF25" s="1"/>
  <c r="AF26" s="1"/>
  <c r="AF27" s="1"/>
  <c r="AF28" s="1"/>
  <c r="AF29" s="1"/>
  <c r="AF30" s="1"/>
  <c r="AF31" s="1"/>
  <c r="AF32" s="1"/>
  <c r="AF33" s="1"/>
  <c r="AF34" s="1"/>
  <c r="AF35" s="1"/>
  <c r="AF36" s="1"/>
  <c r="AF37" s="1"/>
  <c r="AF38" s="1"/>
  <c r="AF39" s="1"/>
  <c r="AF40" s="1"/>
  <c r="AF41" s="1"/>
  <c r="AF42" s="1"/>
  <c r="AF43" s="1"/>
  <c r="AF44" s="1"/>
  <c r="AF45" s="1"/>
  <c r="AF46" s="1"/>
  <c r="AF47" s="1"/>
  <c r="AF48" s="1"/>
  <c r="AF49" s="1"/>
  <c r="AF50" s="1"/>
  <c r="AF51" s="1"/>
  <c r="AF52" s="1"/>
  <c r="AF53" s="1"/>
  <c r="AF54" s="1"/>
  <c r="AF55" s="1"/>
  <c r="AF56" s="1"/>
  <c r="AF57" s="1"/>
  <c r="AF58" s="1"/>
  <c r="AF59" s="1"/>
  <c r="AF60" s="1"/>
  <c r="AF61" s="1"/>
  <c r="AF62" s="1"/>
  <c r="AF63" s="1"/>
  <c r="AF64" s="1"/>
  <c r="AF65" s="1"/>
  <c r="AF66" s="1"/>
  <c r="AF67" s="1"/>
  <c r="AF68" s="1"/>
  <c r="AF69" s="1"/>
  <c r="AF70" s="1"/>
  <c r="AF71" s="1"/>
  <c r="AF72" s="1"/>
  <c r="AF73" s="1"/>
  <c r="AF74" s="1"/>
  <c r="AF75" s="1"/>
  <c r="AF76" s="1"/>
  <c r="AF77" s="1"/>
  <c r="AF78" s="1"/>
  <c r="AF79" s="1"/>
  <c r="AF80" s="1"/>
  <c r="AF81" s="1"/>
  <c r="AF82" s="1"/>
  <c r="AF83" s="1"/>
  <c r="AF84" s="1"/>
  <c r="AF85" s="1"/>
  <c r="AF86" s="1"/>
  <c r="AF87" s="1"/>
  <c r="AF88" s="1"/>
  <c r="AF89" s="1"/>
  <c r="AF90" s="1"/>
  <c r="AF91" s="1"/>
  <c r="AF92" s="1"/>
  <c r="AF93" s="1"/>
  <c r="AF94" s="1"/>
  <c r="AF95" s="1"/>
  <c r="AF96" s="1"/>
  <c r="AF97" s="1"/>
  <c r="AF98" s="1"/>
  <c r="AF99" s="1"/>
  <c r="AF100" s="1"/>
  <c r="AF101" s="1"/>
  <c r="AF102" s="1"/>
  <c r="AF103" s="1"/>
  <c r="AF104" s="1"/>
  <c r="AF105" s="1"/>
  <c r="AF106" s="1"/>
  <c r="AF107" s="1"/>
  <c r="AF108" s="1"/>
  <c r="AF109" s="1"/>
  <c r="AF110" s="1"/>
  <c r="AF111" s="1"/>
  <c r="AF112" s="1"/>
  <c r="AF113" s="1"/>
  <c r="AF114" s="1"/>
  <c r="AF115" s="1"/>
  <c r="AF116" s="1"/>
  <c r="AF117" s="1"/>
  <c r="AF118" s="1"/>
  <c r="AF119" s="1"/>
  <c r="AF120" s="1"/>
  <c r="AF121" s="1"/>
  <c r="AF122" s="1"/>
  <c r="AF123" s="1"/>
  <c r="AF124" s="1"/>
  <c r="AF125" s="1"/>
  <c r="AF126" s="1"/>
  <c r="AF127" s="1"/>
  <c r="AF128" s="1"/>
  <c r="AF129" s="1"/>
  <c r="AF130" s="1"/>
  <c r="AF131" s="1"/>
  <c r="AF132" s="1"/>
  <c r="AF133" s="1"/>
  <c r="AF134" s="1"/>
  <c r="AF135" s="1"/>
  <c r="AF136" s="1"/>
  <c r="AF137" s="1"/>
  <c r="AF138" s="1"/>
  <c r="AF139" s="1"/>
  <c r="AF140" s="1"/>
  <c r="AF141" s="1"/>
  <c r="AF142" s="1"/>
  <c r="AF143" s="1"/>
  <c r="AF144" s="1"/>
  <c r="AF145" s="1"/>
  <c r="AF146" s="1"/>
  <c r="AF147" s="1"/>
  <c r="AF148" s="1"/>
  <c r="AF149" s="1"/>
  <c r="AF150" s="1"/>
  <c r="AF151" s="1"/>
  <c r="AF152" s="1"/>
  <c r="AF153" s="1"/>
  <c r="AF154" s="1"/>
  <c r="AF155" s="1"/>
  <c r="AF156" s="1"/>
  <c r="AF157" s="1"/>
  <c r="AF158" s="1"/>
  <c r="AF159" s="1"/>
  <c r="AF160" s="1"/>
  <c r="AF161" s="1"/>
  <c r="AF162" s="1"/>
  <c r="AF163" s="1"/>
  <c r="AF164" s="1"/>
  <c r="AF165" s="1"/>
  <c r="AF166" s="1"/>
  <c r="AF167" s="1"/>
  <c r="AF168" s="1"/>
  <c r="AF169" s="1"/>
  <c r="AF170" s="1"/>
  <c r="AF171" s="1"/>
  <c r="AF172" s="1"/>
  <c r="AF173" s="1"/>
  <c r="AF174" s="1"/>
  <c r="AF175" s="1"/>
  <c r="AF176" s="1"/>
  <c r="AF177" s="1"/>
  <c r="AF178" s="1"/>
  <c r="AF179" s="1"/>
  <c r="AF180" s="1"/>
  <c r="AF181" s="1"/>
  <c r="AF182" s="1"/>
  <c r="O307"/>
  <c r="P307"/>
  <c r="Q307" l="1"/>
  <c r="AI55"/>
  <c r="AJ55"/>
  <c r="AL55" s="1"/>
  <c r="AI56"/>
  <c r="AJ56"/>
  <c r="AL56" s="1"/>
  <c r="AI57"/>
  <c r="AJ57"/>
  <c r="AL57" s="1"/>
  <c r="AI58"/>
  <c r="AJ58"/>
  <c r="AL58" s="1"/>
  <c r="AI59"/>
  <c r="AJ59"/>
  <c r="AL59" s="1"/>
  <c r="AI60"/>
  <c r="AJ60"/>
  <c r="AL60" s="1"/>
  <c r="AI61"/>
  <c r="AJ61"/>
  <c r="AL61" s="1"/>
  <c r="AI62"/>
  <c r="AJ62"/>
  <c r="AL62" s="1"/>
  <c r="AI63"/>
  <c r="AJ63"/>
  <c r="AL63" s="1"/>
  <c r="AI64"/>
  <c r="AJ64"/>
  <c r="AL64" s="1"/>
  <c r="AI65"/>
  <c r="AJ65"/>
  <c r="AL65" s="1"/>
  <c r="AI66"/>
  <c r="AJ66"/>
  <c r="AL66" s="1"/>
  <c r="AI67"/>
  <c r="AJ67"/>
  <c r="AL67" s="1"/>
  <c r="AI68"/>
  <c r="AJ68"/>
  <c r="AL68" s="1"/>
  <c r="AI69"/>
  <c r="AJ69"/>
  <c r="AL69" s="1"/>
  <c r="AI70"/>
  <c r="AJ70"/>
  <c r="AL70" s="1"/>
  <c r="AI71"/>
  <c r="AJ71"/>
  <c r="AL71" s="1"/>
  <c r="AI72"/>
  <c r="AJ72"/>
  <c r="AL72" s="1"/>
  <c r="AI73"/>
  <c r="AJ73"/>
  <c r="AL73" s="1"/>
  <c r="AI74"/>
  <c r="AJ74"/>
  <c r="AL74" s="1"/>
  <c r="AI75"/>
  <c r="AJ75"/>
  <c r="AL75" s="1"/>
  <c r="AI76"/>
  <c r="AJ76"/>
  <c r="AL76" s="1"/>
  <c r="AI77"/>
  <c r="AJ77"/>
  <c r="AL77" s="1"/>
  <c r="AI78"/>
  <c r="AJ78"/>
  <c r="AL78" s="1"/>
  <c r="AI79"/>
  <c r="AJ79"/>
  <c r="AL79" s="1"/>
  <c r="AI80"/>
  <c r="AJ80"/>
  <c r="AL80" s="1"/>
  <c r="AI81"/>
  <c r="AJ81"/>
  <c r="AL81" s="1"/>
  <c r="AI82"/>
  <c r="AJ82"/>
  <c r="AL82" s="1"/>
  <c r="AI83"/>
  <c r="AJ83"/>
  <c r="AL83" s="1"/>
  <c r="AI84"/>
  <c r="AJ84"/>
  <c r="AL84" s="1"/>
  <c r="AI85"/>
  <c r="AJ85"/>
  <c r="AL85" s="1"/>
  <c r="AI86"/>
  <c r="AJ86"/>
  <c r="AL86" s="1"/>
  <c r="AI87"/>
  <c r="AJ87"/>
  <c r="AL87" s="1"/>
  <c r="AI88"/>
  <c r="AJ88"/>
  <c r="AL88" s="1"/>
  <c r="AI89"/>
  <c r="AJ89"/>
  <c r="AL89" s="1"/>
  <c r="AI90"/>
  <c r="AJ90"/>
  <c r="AL90" s="1"/>
  <c r="AI91"/>
  <c r="AJ91"/>
  <c r="AL91" s="1"/>
  <c r="AI92"/>
  <c r="AJ92"/>
  <c r="AL92" s="1"/>
  <c r="AI93"/>
  <c r="AJ93"/>
  <c r="AL93" s="1"/>
  <c r="AI94"/>
  <c r="AJ94"/>
  <c r="AL94" s="1"/>
  <c r="AI95"/>
  <c r="AJ95"/>
  <c r="AL95" s="1"/>
  <c r="AI96"/>
  <c r="AJ96"/>
  <c r="AL96" s="1"/>
  <c r="AI97"/>
  <c r="AJ97"/>
  <c r="AL97" s="1"/>
  <c r="AI98"/>
  <c r="AJ98"/>
  <c r="AL98" s="1"/>
  <c r="AI99"/>
  <c r="AJ99"/>
  <c r="AL99" s="1"/>
  <c r="AI100"/>
  <c r="AJ100"/>
  <c r="AL100" s="1"/>
  <c r="AI101"/>
  <c r="AJ101"/>
  <c r="AL101" s="1"/>
  <c r="AI102"/>
  <c r="AJ102"/>
  <c r="AL102" s="1"/>
  <c r="AI103"/>
  <c r="AJ103"/>
  <c r="AL103" s="1"/>
  <c r="AI104"/>
  <c r="AJ104"/>
  <c r="AL104" s="1"/>
  <c r="AI105"/>
  <c r="AJ105"/>
  <c r="AL105" s="1"/>
  <c r="AI106"/>
  <c r="AJ106"/>
  <c r="AL106" s="1"/>
  <c r="AI107"/>
  <c r="AJ107"/>
  <c r="AL107" s="1"/>
  <c r="AI108"/>
  <c r="AJ108"/>
  <c r="AL108" s="1"/>
  <c r="AI109"/>
  <c r="AJ109"/>
  <c r="AL109" s="1"/>
  <c r="AI110"/>
  <c r="AJ110"/>
  <c r="AL110" s="1"/>
  <c r="AI111"/>
  <c r="AJ111"/>
  <c r="AL111" s="1"/>
  <c r="AI112"/>
  <c r="AJ112"/>
  <c r="AL112" s="1"/>
  <c r="AI113"/>
  <c r="AJ113"/>
  <c r="AL113" s="1"/>
  <c r="AI114"/>
  <c r="AJ114"/>
  <c r="AL114" s="1"/>
  <c r="AI115"/>
  <c r="AJ115"/>
  <c r="AL115" s="1"/>
  <c r="AI116"/>
  <c r="AJ116"/>
  <c r="AL116" s="1"/>
  <c r="AI117"/>
  <c r="AJ117"/>
  <c r="AL117" s="1"/>
  <c r="AI118"/>
  <c r="AJ118"/>
  <c r="AL118" s="1"/>
  <c r="AI119"/>
  <c r="AJ119"/>
  <c r="AL119" s="1"/>
  <c r="AI120"/>
  <c r="AJ120"/>
  <c r="AL120" s="1"/>
  <c r="AI121"/>
  <c r="AJ121"/>
  <c r="AL121" s="1"/>
  <c r="AI122"/>
  <c r="AJ122"/>
  <c r="AL122" s="1"/>
  <c r="AI123"/>
  <c r="AJ123"/>
  <c r="AL123" s="1"/>
  <c r="AI124"/>
  <c r="AJ124"/>
  <c r="AL124" s="1"/>
  <c r="AI125"/>
  <c r="AJ125"/>
  <c r="AL125" s="1"/>
  <c r="AI126"/>
  <c r="AJ126"/>
  <c r="AL126" s="1"/>
  <c r="AI127"/>
  <c r="AJ127"/>
  <c r="AL127" s="1"/>
  <c r="AI128"/>
  <c r="AJ128"/>
  <c r="AL128" s="1"/>
  <c r="AI129"/>
  <c r="AJ129"/>
  <c r="AL129" s="1"/>
  <c r="AI130"/>
  <c r="AJ130"/>
  <c r="AL130" s="1"/>
  <c r="AI131"/>
  <c r="AJ131"/>
  <c r="AL131" s="1"/>
  <c r="AI132"/>
  <c r="AJ132"/>
  <c r="AL132" s="1"/>
  <c r="AI133"/>
  <c r="AJ133"/>
  <c r="AL133" s="1"/>
  <c r="AI134"/>
  <c r="AJ134"/>
  <c r="AL134" s="1"/>
  <c r="AI135"/>
  <c r="AJ135"/>
  <c r="AL135" s="1"/>
  <c r="AI136"/>
  <c r="AJ136"/>
  <c r="AL136" s="1"/>
  <c r="AI137"/>
  <c r="AJ137"/>
  <c r="AL137" s="1"/>
  <c r="AI138"/>
  <c r="AJ138"/>
  <c r="AL138" s="1"/>
  <c r="AI139"/>
  <c r="AJ139"/>
  <c r="AL139" s="1"/>
  <c r="AI140"/>
  <c r="AJ140"/>
  <c r="AL140" s="1"/>
  <c r="AI141"/>
  <c r="AJ141"/>
  <c r="AL141" s="1"/>
  <c r="AI142"/>
  <c r="AJ142"/>
  <c r="AL142" s="1"/>
  <c r="AI143"/>
  <c r="AJ143"/>
  <c r="AL143" s="1"/>
  <c r="AI144"/>
  <c r="AJ144"/>
  <c r="AL144" s="1"/>
  <c r="AI145"/>
  <c r="AJ145"/>
  <c r="AL145" s="1"/>
  <c r="AI146"/>
  <c r="AJ146"/>
  <c r="AL146" s="1"/>
  <c r="AI147"/>
  <c r="AJ147"/>
  <c r="AL147" s="1"/>
  <c r="AI148"/>
  <c r="AJ148"/>
  <c r="AL148" s="1"/>
  <c r="AI149"/>
  <c r="AJ149"/>
  <c r="AL149" s="1"/>
  <c r="AI150"/>
  <c r="AJ150"/>
  <c r="AL150" s="1"/>
  <c r="AI151"/>
  <c r="AJ151"/>
  <c r="AL151" s="1"/>
  <c r="AI152"/>
  <c r="AJ152"/>
  <c r="AL152" s="1"/>
  <c r="AI153"/>
  <c r="AJ153"/>
  <c r="AL153" s="1"/>
  <c r="AI154"/>
  <c r="AJ154"/>
  <c r="AL154" s="1"/>
  <c r="AI155"/>
  <c r="AJ155"/>
  <c r="AL155" s="1"/>
  <c r="AI156"/>
  <c r="AJ156"/>
  <c r="AL156" s="1"/>
  <c r="AI157"/>
  <c r="AJ157"/>
  <c r="AL157" s="1"/>
  <c r="AI158"/>
  <c r="AJ158"/>
  <c r="AL158" s="1"/>
  <c r="AI159"/>
  <c r="AJ159"/>
  <c r="AL159" s="1"/>
  <c r="AI160"/>
  <c r="AJ160"/>
  <c r="AL160" s="1"/>
  <c r="AI161"/>
  <c r="AJ161"/>
  <c r="AL161" s="1"/>
  <c r="AI162"/>
  <c r="AJ162"/>
  <c r="AL162" s="1"/>
  <c r="AI163"/>
  <c r="AJ163"/>
  <c r="AL163" s="1"/>
  <c r="AI164"/>
  <c r="AJ164"/>
  <c r="AL164" s="1"/>
  <c r="AI165"/>
  <c r="AJ165"/>
  <c r="AL165" s="1"/>
  <c r="AI166"/>
  <c r="AJ166"/>
  <c r="AL166" s="1"/>
  <c r="AI167"/>
  <c r="AJ167"/>
  <c r="AL167" s="1"/>
  <c r="AI168"/>
  <c r="AJ168"/>
  <c r="AL168" s="1"/>
  <c r="AI169"/>
  <c r="AJ169"/>
  <c r="AL169" s="1"/>
  <c r="AI170"/>
  <c r="AJ170"/>
  <c r="AL170" s="1"/>
  <c r="AI171"/>
  <c r="AJ171"/>
  <c r="AL171" s="1"/>
  <c r="AI172"/>
  <c r="AJ172"/>
  <c r="AL172" s="1"/>
  <c r="AI173"/>
  <c r="AJ173"/>
  <c r="AL173" s="1"/>
  <c r="AI174"/>
  <c r="AJ174"/>
  <c r="AL174" s="1"/>
  <c r="AI175"/>
  <c r="AJ175"/>
  <c r="AL175" s="1"/>
  <c r="AI176"/>
  <c r="AJ176"/>
  <c r="AL176" s="1"/>
  <c r="AI177"/>
  <c r="AJ177"/>
  <c r="AL177" s="1"/>
  <c r="AI178"/>
  <c r="AJ178"/>
  <c r="AL178" s="1"/>
  <c r="AI179"/>
  <c r="AJ179"/>
  <c r="AL179" s="1"/>
  <c r="AI180"/>
  <c r="AJ180"/>
  <c r="AL180" s="1"/>
  <c r="AI181"/>
  <c r="AJ181"/>
  <c r="AL181" s="1"/>
  <c r="AI182"/>
  <c r="AJ182"/>
  <c r="AL182" s="1"/>
  <c r="AI183"/>
  <c r="AI184"/>
  <c r="AJ184"/>
  <c r="AL184" s="1"/>
  <c r="AI185"/>
  <c r="AJ185"/>
  <c r="AL185" s="1"/>
  <c r="AI186"/>
  <c r="AJ186"/>
  <c r="AL186" s="1"/>
  <c r="AI187"/>
  <c r="AI188"/>
  <c r="AI189"/>
  <c r="AI190"/>
  <c r="AI191"/>
  <c r="AI192"/>
  <c r="AI193"/>
  <c r="AI194"/>
  <c r="AJ194"/>
  <c r="AL194" s="1"/>
  <c r="AI195"/>
  <c r="AJ195"/>
  <c r="AL195" s="1"/>
  <c r="AI196"/>
  <c r="AJ196"/>
  <c r="AL196" s="1"/>
  <c r="AI197"/>
  <c r="AI198"/>
  <c r="AJ198"/>
  <c r="AL198" s="1"/>
  <c r="AI199"/>
  <c r="AI200"/>
  <c r="AI201"/>
  <c r="AI202"/>
  <c r="AJ202"/>
  <c r="AL202" s="1"/>
  <c r="AI203"/>
  <c r="AJ203"/>
  <c r="AL203" s="1"/>
  <c r="AI204"/>
  <c r="AJ204"/>
  <c r="AL204" s="1"/>
  <c r="AI205"/>
  <c r="AI206"/>
  <c r="AI207"/>
  <c r="AI208"/>
  <c r="AI209"/>
  <c r="AJ209"/>
  <c r="AL209" s="1"/>
  <c r="AI210"/>
  <c r="AI211"/>
  <c r="AJ211"/>
  <c r="AL211" s="1"/>
  <c r="AI212"/>
  <c r="AI213"/>
  <c r="AI214"/>
  <c r="AJ214"/>
  <c r="AL214" s="1"/>
  <c r="AI215"/>
  <c r="AJ215"/>
  <c r="AL215" s="1"/>
  <c r="AI216"/>
  <c r="AI217"/>
  <c r="AI218"/>
  <c r="AJ218"/>
  <c r="AL218" s="1"/>
  <c r="AI219"/>
  <c r="AI220"/>
  <c r="AJ220"/>
  <c r="AL220" s="1"/>
  <c r="AI221"/>
  <c r="AI222"/>
  <c r="AJ222"/>
  <c r="AL222" s="1"/>
  <c r="AI223"/>
  <c r="AI224"/>
  <c r="AI225"/>
  <c r="AJ225"/>
  <c r="AL225" s="1"/>
  <c r="AI226"/>
  <c r="AJ226"/>
  <c r="AL226" s="1"/>
  <c r="AI227"/>
  <c r="AJ227"/>
  <c r="AL227" s="1"/>
  <c r="AI228"/>
  <c r="AJ228"/>
  <c r="AL228" s="1"/>
  <c r="AI229"/>
  <c r="AJ229"/>
  <c r="AL229" s="1"/>
  <c r="AI230"/>
  <c r="AJ230"/>
  <c r="AL230" s="1"/>
  <c r="AI231"/>
  <c r="AJ231"/>
  <c r="AL231" s="1"/>
  <c r="AI232"/>
  <c r="AJ232"/>
  <c r="AL232" s="1"/>
  <c r="AI233"/>
  <c r="AJ233"/>
  <c r="AL233" s="1"/>
  <c r="AI234"/>
  <c r="AJ234"/>
  <c r="AL234" s="1"/>
  <c r="AI235"/>
  <c r="AJ235"/>
  <c r="AL235" s="1"/>
  <c r="AI236"/>
  <c r="AJ236"/>
  <c r="AL236" s="1"/>
  <c r="AI237"/>
  <c r="AJ237"/>
  <c r="AL237" s="1"/>
  <c r="AI238"/>
  <c r="AJ238"/>
  <c r="AL238" s="1"/>
  <c r="AI239"/>
  <c r="AJ239"/>
  <c r="AL239" s="1"/>
  <c r="AI240"/>
  <c r="AJ240"/>
  <c r="AL240" s="1"/>
  <c r="AI241"/>
  <c r="AJ241"/>
  <c r="AL241" s="1"/>
  <c r="AI242"/>
  <c r="AJ242"/>
  <c r="AL242" s="1"/>
  <c r="AI243"/>
  <c r="AJ243"/>
  <c r="AL243" s="1"/>
  <c r="AI244"/>
  <c r="AJ244"/>
  <c r="AL244" s="1"/>
  <c r="AI245"/>
  <c r="AJ245"/>
  <c r="AL245" s="1"/>
  <c r="AI246"/>
  <c r="AJ246"/>
  <c r="AL246" s="1"/>
  <c r="AI247"/>
  <c r="AJ247"/>
  <c r="AL247" s="1"/>
  <c r="AI248"/>
  <c r="AJ248"/>
  <c r="AL248" s="1"/>
  <c r="AI249"/>
  <c r="AJ249"/>
  <c r="AL249" s="1"/>
  <c r="AI250"/>
  <c r="AJ250"/>
  <c r="AL250" s="1"/>
  <c r="AI251"/>
  <c r="AJ251"/>
  <c r="AL251" s="1"/>
  <c r="AI252"/>
  <c r="AJ252"/>
  <c r="AL252" s="1"/>
  <c r="AI253"/>
  <c r="AJ253"/>
  <c r="AL253" s="1"/>
  <c r="AI254"/>
  <c r="AJ254"/>
  <c r="AL254" s="1"/>
  <c r="AI255"/>
  <c r="AJ255"/>
  <c r="AL255" s="1"/>
  <c r="AI256"/>
  <c r="AJ256"/>
  <c r="AL256" s="1"/>
  <c r="AI257"/>
  <c r="AJ257"/>
  <c r="AL257" s="1"/>
  <c r="AI258"/>
  <c r="AJ258"/>
  <c r="AL258" s="1"/>
  <c r="AI259"/>
  <c r="AJ259"/>
  <c r="AL259" s="1"/>
  <c r="AI260"/>
  <c r="AJ260"/>
  <c r="AL260" s="1"/>
  <c r="AI261"/>
  <c r="AJ261"/>
  <c r="AL261" s="1"/>
  <c r="AI262"/>
  <c r="AJ262"/>
  <c r="AL262" s="1"/>
  <c r="AI263"/>
  <c r="AJ263"/>
  <c r="AL263" s="1"/>
  <c r="AI264"/>
  <c r="AJ264"/>
  <c r="AL264" s="1"/>
  <c r="AI265"/>
  <c r="AJ265"/>
  <c r="AL265" s="1"/>
  <c r="AI266"/>
  <c r="AJ266"/>
  <c r="AL266" s="1"/>
  <c r="AI267"/>
  <c r="AJ267"/>
  <c r="AL267" s="1"/>
  <c r="AI268"/>
  <c r="AJ268"/>
  <c r="AL268" s="1"/>
  <c r="AI269"/>
  <c r="AJ269"/>
  <c r="AL269" s="1"/>
  <c r="AI270"/>
  <c r="AJ270"/>
  <c r="AL270" s="1"/>
  <c r="AI271"/>
  <c r="AJ271"/>
  <c r="AL271" s="1"/>
  <c r="AI272"/>
  <c r="AJ272"/>
  <c r="AL272" s="1"/>
  <c r="AI273"/>
  <c r="AJ273"/>
  <c r="AL273" s="1"/>
  <c r="AI274"/>
  <c r="AJ274"/>
  <c r="AL274" s="1"/>
  <c r="AI275"/>
  <c r="AJ275"/>
  <c r="AL275" s="1"/>
  <c r="AI276"/>
  <c r="AJ276"/>
  <c r="AL276" s="1"/>
  <c r="AI277"/>
  <c r="AJ277"/>
  <c r="AL277" s="1"/>
  <c r="AI278"/>
  <c r="AJ278"/>
  <c r="AL278" s="1"/>
  <c r="AI279"/>
  <c r="AJ279"/>
  <c r="AL279" s="1"/>
  <c r="AI280"/>
  <c r="AJ280"/>
  <c r="AL280" s="1"/>
  <c r="AI281"/>
  <c r="AJ281"/>
  <c r="AL281" s="1"/>
  <c r="AI282"/>
  <c r="AJ282"/>
  <c r="AL282" s="1"/>
  <c r="AI283"/>
  <c r="AJ283"/>
  <c r="AL283" s="1"/>
  <c r="AI284"/>
  <c r="AJ284"/>
  <c r="AL284" s="1"/>
  <c r="AI285"/>
  <c r="AJ285"/>
  <c r="AL285" s="1"/>
  <c r="AI286"/>
  <c r="AJ286"/>
  <c r="AL286" s="1"/>
  <c r="AI287"/>
  <c r="AJ287"/>
  <c r="AL287" s="1"/>
  <c r="AI288"/>
  <c r="AJ288"/>
  <c r="AL288" s="1"/>
  <c r="AI289"/>
  <c r="AJ289"/>
  <c r="AL289" s="1"/>
  <c r="AI290"/>
  <c r="AJ290"/>
  <c r="AL290" s="1"/>
  <c r="AI291"/>
  <c r="AJ291"/>
  <c r="AL291" s="1"/>
  <c r="AI292"/>
  <c r="AJ292"/>
  <c r="AL292" s="1"/>
  <c r="AI293"/>
  <c r="AJ293"/>
  <c r="AL293" s="1"/>
  <c r="AI294"/>
  <c r="AJ294"/>
  <c r="AL294" s="1"/>
  <c r="AI295"/>
  <c r="AJ295"/>
  <c r="AL295" s="1"/>
  <c r="AI296"/>
  <c r="AJ296"/>
  <c r="AL296" s="1"/>
  <c r="AI297"/>
  <c r="AJ297"/>
  <c r="AL297" s="1"/>
  <c r="AI298"/>
  <c r="AJ298"/>
  <c r="AL298" s="1"/>
  <c r="AI299"/>
  <c r="AJ299"/>
  <c r="AL299" s="1"/>
  <c r="AI300"/>
  <c r="AJ300"/>
  <c r="AL300" s="1"/>
  <c r="AI301"/>
  <c r="AJ301"/>
  <c r="AL301" s="1"/>
  <c r="AI302"/>
  <c r="AJ302"/>
  <c r="AL302" s="1"/>
  <c r="AI303"/>
  <c r="AJ303"/>
  <c r="AL303" s="1"/>
  <c r="AI304"/>
  <c r="AJ304"/>
  <c r="AL304" s="1"/>
  <c r="AI305"/>
  <c r="AJ305"/>
  <c r="AL305" s="1"/>
  <c r="AI21"/>
  <c r="AJ21"/>
  <c r="AL21" s="1"/>
  <c r="AI22"/>
  <c r="AJ22"/>
  <c r="AL22" s="1"/>
  <c r="AI23"/>
  <c r="AJ23"/>
  <c r="AL23" s="1"/>
  <c r="AI24"/>
  <c r="AJ24"/>
  <c r="AL24" s="1"/>
  <c r="AI25"/>
  <c r="AJ25"/>
  <c r="AL25" s="1"/>
  <c r="AI26"/>
  <c r="AJ26"/>
  <c r="AL26" s="1"/>
  <c r="AI27"/>
  <c r="AJ27"/>
  <c r="AL27" s="1"/>
  <c r="AI28"/>
  <c r="AJ28"/>
  <c r="AL28" s="1"/>
  <c r="AI29"/>
  <c r="AJ29"/>
  <c r="AL29" s="1"/>
  <c r="AI30"/>
  <c r="AJ30"/>
  <c r="AL30" s="1"/>
  <c r="AI31"/>
  <c r="AJ31"/>
  <c r="AL31" s="1"/>
  <c r="AI32"/>
  <c r="AJ32"/>
  <c r="AL32" s="1"/>
  <c r="AI33"/>
  <c r="AJ33"/>
  <c r="AL33" s="1"/>
  <c r="AI34"/>
  <c r="AJ34"/>
  <c r="AL34" s="1"/>
  <c r="AI35"/>
  <c r="AJ35"/>
  <c r="AL35" s="1"/>
  <c r="AI36"/>
  <c r="AJ36"/>
  <c r="AL36" s="1"/>
  <c r="AI37"/>
  <c r="AJ37"/>
  <c r="AL37" s="1"/>
  <c r="AI38"/>
  <c r="AJ38"/>
  <c r="AL38" s="1"/>
  <c r="AI39"/>
  <c r="AJ39"/>
  <c r="AL39" s="1"/>
  <c r="AI40"/>
  <c r="AJ40"/>
  <c r="AL40" s="1"/>
  <c r="AI41"/>
  <c r="AJ41"/>
  <c r="AL41" s="1"/>
  <c r="AI42"/>
  <c r="AJ42"/>
  <c r="AL42" s="1"/>
  <c r="AI43"/>
  <c r="AJ43"/>
  <c r="AL43" s="1"/>
  <c r="AI44"/>
  <c r="AJ44"/>
  <c r="AL44" s="1"/>
  <c r="AI45"/>
  <c r="AJ45"/>
  <c r="AL45" s="1"/>
  <c r="AI46"/>
  <c r="AJ46"/>
  <c r="AL46" s="1"/>
  <c r="AI47"/>
  <c r="AJ47"/>
  <c r="AL47" s="1"/>
  <c r="AI48"/>
  <c r="AJ48"/>
  <c r="AL48" s="1"/>
  <c r="AI49"/>
  <c r="AJ49"/>
  <c r="AL49" s="1"/>
  <c r="AI50"/>
  <c r="AJ50"/>
  <c r="AL50" s="1"/>
  <c r="AI51"/>
  <c r="AJ51"/>
  <c r="AL51" s="1"/>
  <c r="AI52"/>
  <c r="AJ52"/>
  <c r="AL52" s="1"/>
  <c r="AI53"/>
  <c r="AJ53"/>
  <c r="AL53" s="1"/>
  <c r="AI54"/>
  <c r="AJ54"/>
  <c r="AL54" s="1"/>
  <c r="AM5"/>
  <c r="AM6"/>
  <c r="AM4"/>
  <c r="AM3"/>
  <c r="AL4"/>
  <c r="AL5"/>
  <c r="AL6"/>
  <c r="AL8"/>
  <c r="AL9"/>
  <c r="AL10"/>
  <c r="AL11"/>
  <c r="AL13"/>
  <c r="AL14"/>
  <c r="AL15"/>
  <c r="AL16"/>
  <c r="AL18"/>
  <c r="AL19"/>
  <c r="AL20"/>
  <c r="AJ4"/>
  <c r="AJ5"/>
  <c r="AJ6"/>
  <c r="AJ7"/>
  <c r="AL7" s="1"/>
  <c r="AJ8"/>
  <c r="AJ9"/>
  <c r="AJ10"/>
  <c r="AJ11"/>
  <c r="AJ12"/>
  <c r="AL12" s="1"/>
  <c r="AJ13"/>
  <c r="AJ14"/>
  <c r="AJ15"/>
  <c r="AJ16"/>
  <c r="AJ17"/>
  <c r="AL17" s="1"/>
  <c r="AJ18"/>
  <c r="AJ19"/>
  <c r="AJ20"/>
  <c r="AI4"/>
  <c r="AI5"/>
  <c r="AI6"/>
  <c r="AI7"/>
  <c r="AI8"/>
  <c r="AI9"/>
  <c r="AI10"/>
  <c r="AI11"/>
  <c r="AI12"/>
  <c r="AI13"/>
  <c r="AI14"/>
  <c r="AI15"/>
  <c r="AI16"/>
  <c r="AI17"/>
  <c r="AI18"/>
  <c r="AI19"/>
  <c r="AI20"/>
  <c r="AL3"/>
  <c r="AJ3"/>
  <c r="AI3"/>
  <c r="N18" i="25"/>
  <c r="M18"/>
  <c r="N17"/>
  <c r="M17"/>
  <c r="N16"/>
  <c r="M16"/>
  <c r="O18"/>
  <c r="O17"/>
  <c r="O16"/>
  <c r="G91"/>
  <c r="G92"/>
  <c r="M109" s="1"/>
  <c r="O109" s="1"/>
  <c r="G93"/>
  <c r="G94"/>
  <c r="I94" s="1"/>
  <c r="G95"/>
  <c r="G96"/>
  <c r="I96" s="1"/>
  <c r="G97"/>
  <c r="G98"/>
  <c r="I98" s="1"/>
  <c r="G99"/>
  <c r="G100"/>
  <c r="I100" s="1"/>
  <c r="G101"/>
  <c r="G102"/>
  <c r="I102" s="1"/>
  <c r="G103"/>
  <c r="G104"/>
  <c r="I104" s="1"/>
  <c r="G105"/>
  <c r="G106"/>
  <c r="I106" s="1"/>
  <c r="G107"/>
  <c r="G108"/>
  <c r="I108" s="1"/>
  <c r="G109"/>
  <c r="D91"/>
  <c r="I91" s="1"/>
  <c r="D92"/>
  <c r="D93"/>
  <c r="I93" s="1"/>
  <c r="D94"/>
  <c r="D95"/>
  <c r="I95" s="1"/>
  <c r="D96"/>
  <c r="D97"/>
  <c r="I97" s="1"/>
  <c r="D98"/>
  <c r="D99"/>
  <c r="I99" s="1"/>
  <c r="D100"/>
  <c r="D101"/>
  <c r="I101" s="1"/>
  <c r="D102"/>
  <c r="D103"/>
  <c r="I103" s="1"/>
  <c r="D104"/>
  <c r="D105"/>
  <c r="I105" s="1"/>
  <c r="D106"/>
  <c r="D107"/>
  <c r="I107" s="1"/>
  <c r="D108"/>
  <c r="D109"/>
  <c r="I109" s="1"/>
  <c r="G90"/>
  <c r="N109" s="1"/>
  <c r="D90"/>
  <c r="M108" s="1"/>
  <c r="G66"/>
  <c r="G67"/>
  <c r="G68"/>
  <c r="G69"/>
  <c r="G70"/>
  <c r="G71"/>
  <c r="G72"/>
  <c r="G73"/>
  <c r="G74"/>
  <c r="G75"/>
  <c r="G76"/>
  <c r="G77"/>
  <c r="G78"/>
  <c r="G79"/>
  <c r="G80"/>
  <c r="G81"/>
  <c r="G82"/>
  <c r="G83"/>
  <c r="G84"/>
  <c r="G85"/>
  <c r="G86"/>
  <c r="G87"/>
  <c r="G65"/>
  <c r="D66"/>
  <c r="I66" s="1"/>
  <c r="D67"/>
  <c r="D68"/>
  <c r="I68" s="1"/>
  <c r="D69"/>
  <c r="D70"/>
  <c r="I70" s="1"/>
  <c r="D71"/>
  <c r="D72"/>
  <c r="I72" s="1"/>
  <c r="D73"/>
  <c r="D74"/>
  <c r="I74" s="1"/>
  <c r="D75"/>
  <c r="D76"/>
  <c r="I76" s="1"/>
  <c r="D77"/>
  <c r="D78"/>
  <c r="I78" s="1"/>
  <c r="D79"/>
  <c r="D80"/>
  <c r="I80" s="1"/>
  <c r="D81"/>
  <c r="D82"/>
  <c r="I82" s="1"/>
  <c r="D83"/>
  <c r="D84"/>
  <c r="I84" s="1"/>
  <c r="D85"/>
  <c r="D86"/>
  <c r="I86" s="1"/>
  <c r="D87"/>
  <c r="D65"/>
  <c r="I65" s="1"/>
  <c r="D44"/>
  <c r="D45"/>
  <c r="D46"/>
  <c r="D47"/>
  <c r="D48"/>
  <c r="D49"/>
  <c r="D50"/>
  <c r="D51"/>
  <c r="D52"/>
  <c r="D53"/>
  <c r="D54"/>
  <c r="D55"/>
  <c r="D56"/>
  <c r="D57"/>
  <c r="D58"/>
  <c r="D59"/>
  <c r="D60"/>
  <c r="D61"/>
  <c r="D62"/>
  <c r="D43"/>
  <c r="G59"/>
  <c r="G60"/>
  <c r="G61"/>
  <c r="G62"/>
  <c r="G44"/>
  <c r="G45"/>
  <c r="G46"/>
  <c r="G47"/>
  <c r="G48"/>
  <c r="G49"/>
  <c r="G50"/>
  <c r="G51"/>
  <c r="G52"/>
  <c r="G53"/>
  <c r="G54"/>
  <c r="G55"/>
  <c r="G56"/>
  <c r="G57"/>
  <c r="G58"/>
  <c r="G43"/>
  <c r="AM7" i="24" l="1"/>
  <c r="AM8" s="1"/>
  <c r="AM9" s="1"/>
  <c r="AM10" s="1"/>
  <c r="AM11" s="1"/>
  <c r="AM12" s="1"/>
  <c r="AM13" s="1"/>
  <c r="AM14" s="1"/>
  <c r="AM15" s="1"/>
  <c r="AM16" s="1"/>
  <c r="AM17" s="1"/>
  <c r="AM18" s="1"/>
  <c r="AM19" s="1"/>
  <c r="AM20" s="1"/>
  <c r="AM22"/>
  <c r="AM23" s="1"/>
  <c r="AM24" s="1"/>
  <c r="AM25" s="1"/>
  <c r="AM26" s="1"/>
  <c r="AM27" s="1"/>
  <c r="AM28" s="1"/>
  <c r="AM29" s="1"/>
  <c r="AM30" s="1"/>
  <c r="AM31" s="1"/>
  <c r="AM32" s="1"/>
  <c r="AM33" s="1"/>
  <c r="AM34" s="1"/>
  <c r="AM35" s="1"/>
  <c r="AM36" s="1"/>
  <c r="AM37" s="1"/>
  <c r="AM38" s="1"/>
  <c r="AM39" s="1"/>
  <c r="AM21"/>
  <c r="I90" i="25"/>
  <c r="I92"/>
  <c r="N108"/>
  <c r="O108" s="1"/>
  <c r="I87"/>
  <c r="I85"/>
  <c r="I83"/>
  <c r="I81"/>
  <c r="I79"/>
  <c r="I77"/>
  <c r="I75"/>
  <c r="I73"/>
  <c r="I71"/>
  <c r="I69"/>
  <c r="N85"/>
  <c r="N86"/>
  <c r="J65"/>
  <c r="J66" s="1"/>
  <c r="I67"/>
  <c r="M84" s="1"/>
  <c r="M85"/>
  <c r="O85" s="1"/>
  <c r="M86"/>
  <c r="O86" s="1"/>
  <c r="I58"/>
  <c r="I50"/>
  <c r="N62"/>
  <c r="I62"/>
  <c r="I60"/>
  <c r="N61"/>
  <c r="I61"/>
  <c r="I59"/>
  <c r="I54"/>
  <c r="I46"/>
  <c r="I56"/>
  <c r="I52"/>
  <c r="I48"/>
  <c r="I44"/>
  <c r="I57"/>
  <c r="I55"/>
  <c r="I53"/>
  <c r="I51"/>
  <c r="I49"/>
  <c r="I47"/>
  <c r="I45"/>
  <c r="I43"/>
  <c r="M61"/>
  <c r="M62"/>
  <c r="AN39" i="24" l="1"/>
  <c r="AM40"/>
  <c r="AM41" s="1"/>
  <c r="AM42" s="1"/>
  <c r="AM43" s="1"/>
  <c r="AM44" s="1"/>
  <c r="AM45" s="1"/>
  <c r="AM46" s="1"/>
  <c r="AM47" s="1"/>
  <c r="AM48" s="1"/>
  <c r="AM49" s="1"/>
  <c r="AM50" s="1"/>
  <c r="AM51" s="1"/>
  <c r="AM52" s="1"/>
  <c r="AM53" s="1"/>
  <c r="AM54" s="1"/>
  <c r="AM55" s="1"/>
  <c r="AM56" s="1"/>
  <c r="AM57" s="1"/>
  <c r="AM58" s="1"/>
  <c r="J90" i="25"/>
  <c r="J91" s="1"/>
  <c r="N107"/>
  <c r="M107"/>
  <c r="J92"/>
  <c r="J93" s="1"/>
  <c r="J94" s="1"/>
  <c r="J95" s="1"/>
  <c r="J96" s="1"/>
  <c r="J97" s="1"/>
  <c r="J98" s="1"/>
  <c r="J99" s="1"/>
  <c r="J100" s="1"/>
  <c r="J101" s="1"/>
  <c r="J102" s="1"/>
  <c r="J103" s="1"/>
  <c r="J104" s="1"/>
  <c r="J105" s="1"/>
  <c r="J106" s="1"/>
  <c r="J107" s="1"/>
  <c r="J108" s="1"/>
  <c r="J109" s="1"/>
  <c r="J67"/>
  <c r="J68" s="1"/>
  <c r="J69" s="1"/>
  <c r="J70" s="1"/>
  <c r="J71" s="1"/>
  <c r="J72" s="1"/>
  <c r="J73" s="1"/>
  <c r="J74" s="1"/>
  <c r="J75" s="1"/>
  <c r="J76" s="1"/>
  <c r="J77" s="1"/>
  <c r="J78" s="1"/>
  <c r="J79" s="1"/>
  <c r="J80" s="1"/>
  <c r="J81" s="1"/>
  <c r="J82" s="1"/>
  <c r="J83" s="1"/>
  <c r="J84" s="1"/>
  <c r="J85" s="1"/>
  <c r="J86" s="1"/>
  <c r="J87" s="1"/>
  <c r="N84"/>
  <c r="O84" s="1"/>
  <c r="O61"/>
  <c r="O62"/>
  <c r="N60"/>
  <c r="J43"/>
  <c r="J44" s="1"/>
  <c r="J45" s="1"/>
  <c r="J46" s="1"/>
  <c r="J47" s="1"/>
  <c r="J48" s="1"/>
  <c r="J49" s="1"/>
  <c r="J50" s="1"/>
  <c r="J51" s="1"/>
  <c r="J52" s="1"/>
  <c r="J53" s="1"/>
  <c r="J54" s="1"/>
  <c r="J55" s="1"/>
  <c r="J56" s="1"/>
  <c r="J57" s="1"/>
  <c r="J58" s="1"/>
  <c r="J59" s="1"/>
  <c r="J60" s="1"/>
  <c r="J61" s="1"/>
  <c r="J62" s="1"/>
  <c r="M60"/>
  <c r="O60" s="1"/>
  <c r="AM59" i="24" l="1"/>
  <c r="AM60" s="1"/>
  <c r="AM61" s="1"/>
  <c r="AM62" s="1"/>
  <c r="AM63" s="1"/>
  <c r="AM64" s="1"/>
  <c r="AM65" s="1"/>
  <c r="AM66" s="1"/>
  <c r="AM67" s="1"/>
  <c r="AM68" s="1"/>
  <c r="AM69" s="1"/>
  <c r="AM70" s="1"/>
  <c r="AM71" s="1"/>
  <c r="AM72" s="1"/>
  <c r="AM73" s="1"/>
  <c r="AM74" s="1"/>
  <c r="AM75" s="1"/>
  <c r="AM76" s="1"/>
  <c r="AM77" s="1"/>
  <c r="AM78" s="1"/>
  <c r="AM79" s="1"/>
  <c r="AN58"/>
  <c r="O107" i="25"/>
  <c r="J25"/>
  <c r="G26"/>
  <c r="G27"/>
  <c r="G28"/>
  <c r="G29"/>
  <c r="G30"/>
  <c r="G31"/>
  <c r="G32"/>
  <c r="G33"/>
  <c r="G34"/>
  <c r="G35"/>
  <c r="G36"/>
  <c r="G37"/>
  <c r="G38"/>
  <c r="G39"/>
  <c r="G25"/>
  <c r="D26"/>
  <c r="D27"/>
  <c r="D28"/>
  <c r="D29"/>
  <c r="D30"/>
  <c r="D31"/>
  <c r="D32"/>
  <c r="D33"/>
  <c r="D34"/>
  <c r="D35"/>
  <c r="D36"/>
  <c r="D37"/>
  <c r="D38"/>
  <c r="D39"/>
  <c r="D25"/>
  <c r="G4"/>
  <c r="G5"/>
  <c r="G6"/>
  <c r="G7"/>
  <c r="G8"/>
  <c r="G9"/>
  <c r="G10"/>
  <c r="G11"/>
  <c r="G12"/>
  <c r="G13"/>
  <c r="G14"/>
  <c r="G15"/>
  <c r="G16"/>
  <c r="G17"/>
  <c r="G18"/>
  <c r="G19"/>
  <c r="G20"/>
  <c r="G21"/>
  <c r="G3"/>
  <c r="D4"/>
  <c r="D5"/>
  <c r="D6"/>
  <c r="D7"/>
  <c r="D8"/>
  <c r="D9"/>
  <c r="D10"/>
  <c r="D11"/>
  <c r="D12"/>
  <c r="D13"/>
  <c r="D14"/>
  <c r="D15"/>
  <c r="D16"/>
  <c r="D17"/>
  <c r="D18"/>
  <c r="D19"/>
  <c r="D20"/>
  <c r="D21"/>
  <c r="D3"/>
  <c r="AM80" i="24" l="1"/>
  <c r="AM81" s="1"/>
  <c r="AM82" s="1"/>
  <c r="AM83" s="1"/>
  <c r="AM84" s="1"/>
  <c r="AM85" s="1"/>
  <c r="AM86" s="1"/>
  <c r="AM87" s="1"/>
  <c r="AM88" s="1"/>
  <c r="AM89" s="1"/>
  <c r="AM90" s="1"/>
  <c r="AM91" s="1"/>
  <c r="AM92" s="1"/>
  <c r="AM93" s="1"/>
  <c r="AM94" s="1"/>
  <c r="AM95" s="1"/>
  <c r="AM96" s="1"/>
  <c r="AM97" s="1"/>
  <c r="AM98" s="1"/>
  <c r="AM99" s="1"/>
  <c r="AM100" s="1"/>
  <c r="AM101" s="1"/>
  <c r="AN79"/>
  <c r="N28" i="25"/>
  <c r="I38"/>
  <c r="I36"/>
  <c r="I34"/>
  <c r="I32"/>
  <c r="I30"/>
  <c r="I28"/>
  <c r="I26"/>
  <c r="J26" s="1"/>
  <c r="I39"/>
  <c r="I37"/>
  <c r="I35"/>
  <c r="I33"/>
  <c r="I31"/>
  <c r="I29"/>
  <c r="N29"/>
  <c r="I27"/>
  <c r="J27" s="1"/>
  <c r="M29"/>
  <c r="O29" s="1"/>
  <c r="I20"/>
  <c r="I18"/>
  <c r="I16"/>
  <c r="I14"/>
  <c r="I12"/>
  <c r="I10"/>
  <c r="I8"/>
  <c r="I6"/>
  <c r="I4"/>
  <c r="I25"/>
  <c r="M28"/>
  <c r="O28" s="1"/>
  <c r="I21"/>
  <c r="I19"/>
  <c r="I17"/>
  <c r="I15"/>
  <c r="I13"/>
  <c r="I11"/>
  <c r="I9"/>
  <c r="I7"/>
  <c r="I5"/>
  <c r="I3"/>
  <c r="AM102" i="24" l="1"/>
  <c r="AM103" s="1"/>
  <c r="AM104" s="1"/>
  <c r="AM105" s="1"/>
  <c r="AM106" s="1"/>
  <c r="AM107" s="1"/>
  <c r="AM108" s="1"/>
  <c r="AM109" s="1"/>
  <c r="AM110" s="1"/>
  <c r="AM111" s="1"/>
  <c r="AM112" s="1"/>
  <c r="AM113" s="1"/>
  <c r="AM114" s="1"/>
  <c r="AM115" s="1"/>
  <c r="AM116" s="1"/>
  <c r="AM117" s="1"/>
  <c r="AM118" s="1"/>
  <c r="AM119" s="1"/>
  <c r="AM120" s="1"/>
  <c r="AM121" s="1"/>
  <c r="AM122" s="1"/>
  <c r="AN101"/>
  <c r="J28" i="25"/>
  <c r="J29" s="1"/>
  <c r="J30" s="1"/>
  <c r="J31" s="1"/>
  <c r="J32" s="1"/>
  <c r="J33" s="1"/>
  <c r="J34" s="1"/>
  <c r="J35" s="1"/>
  <c r="J36" s="1"/>
  <c r="J37" s="1"/>
  <c r="J38" s="1"/>
  <c r="J39" s="1"/>
  <c r="N27"/>
  <c r="M27"/>
  <c r="J3"/>
  <c r="J4" s="1"/>
  <c r="J5"/>
  <c r="J6" s="1"/>
  <c r="J7" s="1"/>
  <c r="J8" s="1"/>
  <c r="J9" s="1"/>
  <c r="J10" s="1"/>
  <c r="J11" s="1"/>
  <c r="J12" s="1"/>
  <c r="J13" s="1"/>
  <c r="J14" s="1"/>
  <c r="J15" s="1"/>
  <c r="J16" s="1"/>
  <c r="J17" s="1"/>
  <c r="J18" s="1"/>
  <c r="J19" s="1"/>
  <c r="J20" s="1"/>
  <c r="J21" s="1"/>
  <c r="AM123" i="24" l="1"/>
  <c r="AM124" s="1"/>
  <c r="AM125" s="1"/>
  <c r="AM126" s="1"/>
  <c r="AM127" s="1"/>
  <c r="AM128" s="1"/>
  <c r="AM129" s="1"/>
  <c r="AM130" s="1"/>
  <c r="AM131" s="1"/>
  <c r="AM132" s="1"/>
  <c r="AM133" s="1"/>
  <c r="AM134" s="1"/>
  <c r="AM135" s="1"/>
  <c r="AM136" s="1"/>
  <c r="AM137" s="1"/>
  <c r="AM138" s="1"/>
  <c r="AM139" s="1"/>
  <c r="AM140" s="1"/>
  <c r="AM141" s="1"/>
  <c r="AM142" s="1"/>
  <c r="AM143" s="1"/>
  <c r="AM144" s="1"/>
  <c r="AN122"/>
  <c r="O27" i="25"/>
  <c r="AM145" i="24" l="1"/>
  <c r="AM146" s="1"/>
  <c r="AM147" s="1"/>
  <c r="AM148" s="1"/>
  <c r="AM149" s="1"/>
  <c r="AM150" s="1"/>
  <c r="AM151" s="1"/>
  <c r="AM152" s="1"/>
  <c r="AM153" s="1"/>
  <c r="AM154" s="1"/>
  <c r="AM155" s="1"/>
  <c r="AM156" s="1"/>
  <c r="AM157" s="1"/>
  <c r="AM158" s="1"/>
  <c r="AM159" s="1"/>
  <c r="AM160" s="1"/>
  <c r="AM161" s="1"/>
  <c r="AM162" s="1"/>
  <c r="AM163" s="1"/>
  <c r="AM164" s="1"/>
  <c r="AN144"/>
  <c r="AG305"/>
  <c r="AE305"/>
  <c r="AE304"/>
  <c r="AE303"/>
  <c r="AE302"/>
  <c r="AE301"/>
  <c r="AE300"/>
  <c r="AE299"/>
  <c r="AE298"/>
  <c r="AE297"/>
  <c r="AE296"/>
  <c r="AM165" l="1"/>
  <c r="AM166" s="1"/>
  <c r="AM167" s="1"/>
  <c r="AM168" s="1"/>
  <c r="AM169" s="1"/>
  <c r="AM170" s="1"/>
  <c r="AM171" s="1"/>
  <c r="AM172" s="1"/>
  <c r="AM173" s="1"/>
  <c r="AM174" s="1"/>
  <c r="AM175" s="1"/>
  <c r="AM176" s="1"/>
  <c r="AM177" s="1"/>
  <c r="AM178" s="1"/>
  <c r="AM179" s="1"/>
  <c r="AM180" s="1"/>
  <c r="AM181" s="1"/>
  <c r="AM182" s="1"/>
  <c r="AN164"/>
  <c r="AG39"/>
  <c r="AE39"/>
  <c r="AE38"/>
  <c r="AE37"/>
  <c r="AE36"/>
  <c r="AE35"/>
  <c r="AE33"/>
  <c r="AE32"/>
  <c r="AE31"/>
  <c r="AE29"/>
  <c r="AE28"/>
  <c r="AE27"/>
  <c r="AE25"/>
  <c r="AE24"/>
  <c r="AE23"/>
  <c r="AE22"/>
  <c r="AG20"/>
  <c r="AE20"/>
  <c r="AE19"/>
  <c r="AE18"/>
  <c r="AE16"/>
  <c r="AE15"/>
  <c r="AE14"/>
  <c r="AE13"/>
  <c r="AE11"/>
  <c r="AE10"/>
  <c r="AE9"/>
  <c r="AE8"/>
  <c r="AE6"/>
  <c r="AE4"/>
  <c r="AE5"/>
  <c r="AE3"/>
  <c r="AG286"/>
  <c r="AG266"/>
  <c r="AE266"/>
  <c r="AE265"/>
  <c r="AE264"/>
  <c r="AE263"/>
  <c r="AE262"/>
  <c r="AE261"/>
  <c r="AE260"/>
  <c r="AE259"/>
  <c r="AE258"/>
  <c r="AE257"/>
  <c r="AE256"/>
  <c r="AE255"/>
  <c r="AE254"/>
  <c r="AE253"/>
  <c r="AE252"/>
  <c r="AE251"/>
  <c r="AE250"/>
  <c r="AE249"/>
  <c r="AE248"/>
  <c r="AE247"/>
  <c r="AE246"/>
  <c r="AE245"/>
  <c r="AE244"/>
  <c r="AE243"/>
  <c r="AE242"/>
  <c r="AE241"/>
  <c r="AE240"/>
  <c r="AE239"/>
  <c r="AE238"/>
  <c r="AE237"/>
  <c r="AE236"/>
  <c r="AN182" l="1"/>
  <c r="AE235"/>
  <c r="AE234"/>
  <c r="AE233"/>
  <c r="AE232"/>
  <c r="AE231"/>
  <c r="AE230"/>
  <c r="AE229"/>
  <c r="AE228"/>
  <c r="AE227"/>
  <c r="AE226"/>
  <c r="AE225"/>
  <c r="AE224"/>
  <c r="AE223"/>
  <c r="AJ223" s="1"/>
  <c r="AL223" s="1"/>
  <c r="AE222"/>
  <c r="AE221"/>
  <c r="AJ221" s="1"/>
  <c r="AL221" s="1"/>
  <c r="AE220"/>
  <c r="AE219"/>
  <c r="AJ219" s="1"/>
  <c r="AL219" s="1"/>
  <c r="AE218"/>
  <c r="AE217"/>
  <c r="AJ217" s="1"/>
  <c r="AL217" s="1"/>
  <c r="AE216"/>
  <c r="AJ216" s="1"/>
  <c r="AL216" s="1"/>
  <c r="AE215"/>
  <c r="AE214"/>
  <c r="AE213"/>
  <c r="AJ213" s="1"/>
  <c r="AL213" s="1"/>
  <c r="AE212"/>
  <c r="AJ212" s="1"/>
  <c r="AL212" s="1"/>
  <c r="AE211"/>
  <c r="AE210"/>
  <c r="AJ210" s="1"/>
  <c r="AL210" s="1"/>
  <c r="AE209"/>
  <c r="AE208"/>
  <c r="AJ208" s="1"/>
  <c r="AL208" s="1"/>
  <c r="AE207"/>
  <c r="AJ207" s="1"/>
  <c r="AL207" s="1"/>
  <c r="AE206"/>
  <c r="AJ206" s="1"/>
  <c r="AL206" s="1"/>
  <c r="AE205"/>
  <c r="AJ205" s="1"/>
  <c r="AL205" s="1"/>
  <c r="AE204"/>
  <c r="AG58"/>
  <c r="AE203"/>
  <c r="AE202"/>
  <c r="AE201"/>
  <c r="AJ201" s="1"/>
  <c r="AL201" s="1"/>
  <c r="AE200"/>
  <c r="AJ200" s="1"/>
  <c r="AL200" s="1"/>
  <c r="AE199"/>
  <c r="AJ199" s="1"/>
  <c r="AL199" s="1"/>
  <c r="AE198"/>
  <c r="AE197"/>
  <c r="AJ197" s="1"/>
  <c r="AL197" s="1"/>
  <c r="AE196"/>
  <c r="AE195"/>
  <c r="AE194"/>
  <c r="AE193"/>
  <c r="AJ193" s="1"/>
  <c r="AL193" s="1"/>
  <c r="AE192"/>
  <c r="AJ192" s="1"/>
  <c r="AL192" s="1"/>
  <c r="AE191"/>
  <c r="AJ191" s="1"/>
  <c r="AL191" s="1"/>
  <c r="AE190"/>
  <c r="AJ190" s="1"/>
  <c r="AL190" s="1"/>
  <c r="AE189"/>
  <c r="AJ189" s="1"/>
  <c r="AL189" s="1"/>
  <c r="AE188"/>
  <c r="AJ188" s="1"/>
  <c r="AL188" s="1"/>
  <c r="AE187"/>
  <c r="AJ187" s="1"/>
  <c r="AL187" s="1"/>
  <c r="AE186"/>
  <c r="AE185"/>
  <c r="AE184"/>
  <c r="AE183"/>
  <c r="AG182"/>
  <c r="AE182"/>
  <c r="AE181"/>
  <c r="AE180"/>
  <c r="AE179"/>
  <c r="AE178"/>
  <c r="AE177"/>
  <c r="AE176"/>
  <c r="AE175"/>
  <c r="AE174"/>
  <c r="AE173"/>
  <c r="AE172"/>
  <c r="AE171"/>
  <c r="AE170"/>
  <c r="AE169"/>
  <c r="AE168"/>
  <c r="AE167"/>
  <c r="AE166"/>
  <c r="AE165"/>
  <c r="AG164"/>
  <c r="AE164"/>
  <c r="AE163"/>
  <c r="AE162"/>
  <c r="AE161"/>
  <c r="AE160"/>
  <c r="AE159"/>
  <c r="AE158"/>
  <c r="AE157"/>
  <c r="AE156"/>
  <c r="AE155"/>
  <c r="AE154"/>
  <c r="AE153"/>
  <c r="AE152"/>
  <c r="AE151"/>
  <c r="AE150"/>
  <c r="AE149"/>
  <c r="AE148"/>
  <c r="AE147"/>
  <c r="AE146"/>
  <c r="AE145"/>
  <c r="AG144"/>
  <c r="AE144"/>
  <c r="AE143"/>
  <c r="AE142"/>
  <c r="AE141"/>
  <c r="AE140"/>
  <c r="AE139"/>
  <c r="AE138"/>
  <c r="AE137"/>
  <c r="AE136"/>
  <c r="AE135"/>
  <c r="AE134"/>
  <c r="AE133"/>
  <c r="AE132"/>
  <c r="AE131"/>
  <c r="AE130"/>
  <c r="AE129"/>
  <c r="AE128"/>
  <c r="AE127"/>
  <c r="AE126"/>
  <c r="AE125"/>
  <c r="AE124"/>
  <c r="AE123"/>
  <c r="AG122"/>
  <c r="AE122"/>
  <c r="AE121"/>
  <c r="AE120"/>
  <c r="AE119"/>
  <c r="AE118"/>
  <c r="AE117"/>
  <c r="AE116"/>
  <c r="AE115"/>
  <c r="AE114"/>
  <c r="AE113"/>
  <c r="AE112"/>
  <c r="AE111"/>
  <c r="AE110"/>
  <c r="AE109"/>
  <c r="AE108"/>
  <c r="AE107"/>
  <c r="AE106"/>
  <c r="AE105"/>
  <c r="AE104"/>
  <c r="AE103"/>
  <c r="AE102"/>
  <c r="AG101"/>
  <c r="AE101"/>
  <c r="AE100"/>
  <c r="AE99"/>
  <c r="AE98"/>
  <c r="AE97"/>
  <c r="AE96"/>
  <c r="AE95"/>
  <c r="AE94"/>
  <c r="AE93"/>
  <c r="AE92"/>
  <c r="AE91"/>
  <c r="AE90"/>
  <c r="AE89"/>
  <c r="AE88"/>
  <c r="AE87"/>
  <c r="AE86"/>
  <c r="AE85"/>
  <c r="AE84"/>
  <c r="AE83"/>
  <c r="AE82"/>
  <c r="AE81"/>
  <c r="AE80"/>
  <c r="AG79"/>
  <c r="AE79"/>
  <c r="AE78"/>
  <c r="AE77"/>
  <c r="AE76"/>
  <c r="AE75"/>
  <c r="AE74"/>
  <c r="AE73"/>
  <c r="AE72"/>
  <c r="AE71"/>
  <c r="AE70"/>
  <c r="AE69"/>
  <c r="AE68"/>
  <c r="AE67"/>
  <c r="AE66"/>
  <c r="AE65"/>
  <c r="AE64"/>
  <c r="AE63"/>
  <c r="AE62"/>
  <c r="AE61"/>
  <c r="AE60"/>
  <c r="AE59"/>
  <c r="AE52"/>
  <c r="AE53"/>
  <c r="AE54"/>
  <c r="AE55"/>
  <c r="AE56"/>
  <c r="AE57"/>
  <c r="AE58"/>
  <c r="AE51"/>
  <c r="AE50"/>
  <c r="AE49"/>
  <c r="AE48"/>
  <c r="AE47"/>
  <c r="AE46"/>
  <c r="AE43"/>
  <c r="AE44"/>
  <c r="AE45"/>
  <c r="AE42"/>
  <c r="AE41"/>
  <c r="AE40"/>
  <c r="AE295"/>
  <c r="AE294"/>
  <c r="AE293"/>
  <c r="AE292"/>
  <c r="AE291"/>
  <c r="AE290"/>
  <c r="AE289"/>
  <c r="AE288"/>
  <c r="AE287"/>
  <c r="AE286"/>
  <c r="AE285"/>
  <c r="AE284"/>
  <c r="AE281"/>
  <c r="AJ224" l="1"/>
  <c r="AL224" s="1"/>
  <c r="AG243"/>
  <c r="AG223"/>
  <c r="AF183"/>
  <c r="AF184" s="1"/>
  <c r="AF185" s="1"/>
  <c r="AF186" s="1"/>
  <c r="AF187" s="1"/>
  <c r="AF188" s="1"/>
  <c r="AF189" s="1"/>
  <c r="AF190" s="1"/>
  <c r="AF191" s="1"/>
  <c r="AF192" s="1"/>
  <c r="AF193" s="1"/>
  <c r="AF194" s="1"/>
  <c r="AF195" s="1"/>
  <c r="AF196" s="1"/>
  <c r="AF197" s="1"/>
  <c r="AF198" s="1"/>
  <c r="AF199" s="1"/>
  <c r="AF200" s="1"/>
  <c r="AF201" s="1"/>
  <c r="AF202" s="1"/>
  <c r="AF203" s="1"/>
  <c r="AF204" s="1"/>
  <c r="AF205" s="1"/>
  <c r="AF206" s="1"/>
  <c r="AF207" s="1"/>
  <c r="AF208" s="1"/>
  <c r="AF209" s="1"/>
  <c r="AF210" s="1"/>
  <c r="AF211" s="1"/>
  <c r="AF212" s="1"/>
  <c r="AF213" s="1"/>
  <c r="AF214" s="1"/>
  <c r="AF215" s="1"/>
  <c r="AF216" s="1"/>
  <c r="AF217" s="1"/>
  <c r="AF218" s="1"/>
  <c r="AF219" s="1"/>
  <c r="AF220" s="1"/>
  <c r="AF221" s="1"/>
  <c r="AF222" s="1"/>
  <c r="AF223" s="1"/>
  <c r="AF224" s="1"/>
  <c r="AF225" s="1"/>
  <c r="AF226" s="1"/>
  <c r="AF227" s="1"/>
  <c r="AF228" s="1"/>
  <c r="AF229" s="1"/>
  <c r="AF230" s="1"/>
  <c r="AF231" s="1"/>
  <c r="AF232" s="1"/>
  <c r="AF233" s="1"/>
  <c r="AF234" s="1"/>
  <c r="AF235" s="1"/>
  <c r="AF236" s="1"/>
  <c r="AF237" s="1"/>
  <c r="AF238" s="1"/>
  <c r="AF239" s="1"/>
  <c r="AF240" s="1"/>
  <c r="AF241" s="1"/>
  <c r="AF242" s="1"/>
  <c r="AF243" s="1"/>
  <c r="AF244" s="1"/>
  <c r="AF245" s="1"/>
  <c r="AF246" s="1"/>
  <c r="AF247" s="1"/>
  <c r="AF248" s="1"/>
  <c r="AF249" s="1"/>
  <c r="AF250" s="1"/>
  <c r="AF251" s="1"/>
  <c r="AF252" s="1"/>
  <c r="AF253" s="1"/>
  <c r="AF254" s="1"/>
  <c r="AF255" s="1"/>
  <c r="AF256" s="1"/>
  <c r="AF257" s="1"/>
  <c r="AF258" s="1"/>
  <c r="AF259" s="1"/>
  <c r="AF260" s="1"/>
  <c r="AF261" s="1"/>
  <c r="AF262" s="1"/>
  <c r="AF263" s="1"/>
  <c r="AF264" s="1"/>
  <c r="AF265" s="1"/>
  <c r="AF266" s="1"/>
  <c r="AF267" s="1"/>
  <c r="AF268" s="1"/>
  <c r="AF269" s="1"/>
  <c r="AF270" s="1"/>
  <c r="AF271" s="1"/>
  <c r="AF272" s="1"/>
  <c r="AF273" s="1"/>
  <c r="AF274" s="1"/>
  <c r="AF275" s="1"/>
  <c r="AF276" s="1"/>
  <c r="AF277" s="1"/>
  <c r="AF278" s="1"/>
  <c r="AF279" s="1"/>
  <c r="AF280" s="1"/>
  <c r="AF281" s="1"/>
  <c r="AF282" s="1"/>
  <c r="AF283" s="1"/>
  <c r="AF284" s="1"/>
  <c r="AF285" s="1"/>
  <c r="AF286" s="1"/>
  <c r="AF287" s="1"/>
  <c r="AF288" s="1"/>
  <c r="AF289" s="1"/>
  <c r="AF290" s="1"/>
  <c r="AF291" s="1"/>
  <c r="AF292" s="1"/>
  <c r="AF293" s="1"/>
  <c r="AF294" s="1"/>
  <c r="AF295" s="1"/>
  <c r="AF296" s="1"/>
  <c r="AF297" s="1"/>
  <c r="AF298" s="1"/>
  <c r="AF299" s="1"/>
  <c r="AF300" s="1"/>
  <c r="AF301" s="1"/>
  <c r="AF302" s="1"/>
  <c r="AF303" s="1"/>
  <c r="AF304" s="1"/>
  <c r="AF305" s="1"/>
  <c r="AJ183"/>
  <c r="AL183" s="1"/>
  <c r="AM183" s="1"/>
  <c r="AM184" s="1"/>
  <c r="AM185" s="1"/>
  <c r="AM186" s="1"/>
  <c r="AM187" s="1"/>
  <c r="AM188" s="1"/>
  <c r="AM189" s="1"/>
  <c r="AM190" s="1"/>
  <c r="AM191" s="1"/>
  <c r="AM192" s="1"/>
  <c r="AM193" s="1"/>
  <c r="AM194" s="1"/>
  <c r="AM195" s="1"/>
  <c r="AM196" s="1"/>
  <c r="AM197" s="1"/>
  <c r="AM198" s="1"/>
  <c r="AM199" s="1"/>
  <c r="AM200" s="1"/>
  <c r="AM201" s="1"/>
  <c r="AM202" s="1"/>
  <c r="AM203" s="1"/>
  <c r="AN203" s="1"/>
  <c r="AG203"/>
  <c r="AE283"/>
  <c r="AE282"/>
  <c r="AE280"/>
  <c r="AE279"/>
  <c r="AE278"/>
  <c r="AE277"/>
  <c r="AE276"/>
  <c r="AE275"/>
  <c r="AE274"/>
  <c r="AE273"/>
  <c r="AE272"/>
  <c r="AE269"/>
  <c r="AE270"/>
  <c r="AE271"/>
  <c r="AE268"/>
  <c r="AE267"/>
  <c r="Y295"/>
  <c r="AM204" l="1"/>
  <c r="AM205" s="1"/>
  <c r="AM206" s="1"/>
  <c r="AM207" s="1"/>
  <c r="AM208" s="1"/>
  <c r="AM209" s="1"/>
  <c r="AM210" s="1"/>
  <c r="AM211" s="1"/>
  <c r="AM212" s="1"/>
  <c r="AM213" s="1"/>
  <c r="AM214" s="1"/>
  <c r="AM215" s="1"/>
  <c r="AM216" s="1"/>
  <c r="AM217" s="1"/>
  <c r="AM218" s="1"/>
  <c r="AM219" s="1"/>
  <c r="AM220" s="1"/>
  <c r="AM221" s="1"/>
  <c r="AM222" s="1"/>
  <c r="AM223" s="1"/>
  <c r="AM224"/>
  <c r="AM225" s="1"/>
  <c r="AM226" s="1"/>
  <c r="AM227" s="1"/>
  <c r="AM228" s="1"/>
  <c r="AM229" s="1"/>
  <c r="AM230" s="1"/>
  <c r="AM231" s="1"/>
  <c r="AM232" s="1"/>
  <c r="AM233" s="1"/>
  <c r="AM234" s="1"/>
  <c r="AM235" s="1"/>
  <c r="AM236" s="1"/>
  <c r="AM237" s="1"/>
  <c r="AM238" s="1"/>
  <c r="AM239" s="1"/>
  <c r="AM240" s="1"/>
  <c r="AM241" s="1"/>
  <c r="AM242" s="1"/>
  <c r="AM243" s="1"/>
  <c r="AN223"/>
  <c r="Y286"/>
  <c r="AM244" l="1"/>
  <c r="AM245" s="1"/>
  <c r="AM246" s="1"/>
  <c r="AM247" s="1"/>
  <c r="AM248" s="1"/>
  <c r="AM249" s="1"/>
  <c r="AM250" s="1"/>
  <c r="AM251" s="1"/>
  <c r="AM252" s="1"/>
  <c r="AM253" s="1"/>
  <c r="AM254" s="1"/>
  <c r="AM255" s="1"/>
  <c r="AM256" s="1"/>
  <c r="AM257" s="1"/>
  <c r="AM258" s="1"/>
  <c r="AM259" s="1"/>
  <c r="AM260" s="1"/>
  <c r="AM261" s="1"/>
  <c r="AM262" s="1"/>
  <c r="AM263" s="1"/>
  <c r="AM264" s="1"/>
  <c r="AM265" s="1"/>
  <c r="AM266" s="1"/>
  <c r="AN243"/>
  <c r="Y266"/>
  <c r="Y243"/>
  <c r="Y223"/>
  <c r="Y203"/>
  <c r="Y182"/>
  <c r="Y164"/>
  <c r="Y144"/>
  <c r="Y122"/>
  <c r="Y101"/>
  <c r="Y79"/>
  <c r="Y58"/>
  <c r="Y39"/>
  <c r="Y20"/>
  <c r="AM267" l="1"/>
  <c r="AM268" s="1"/>
  <c r="AM269" s="1"/>
  <c r="AM270" s="1"/>
  <c r="AM271" s="1"/>
  <c r="AM272" s="1"/>
  <c r="AM273" s="1"/>
  <c r="AM274" s="1"/>
  <c r="AM275" s="1"/>
  <c r="AM276" s="1"/>
  <c r="AM277" s="1"/>
  <c r="AM278" s="1"/>
  <c r="AM279" s="1"/>
  <c r="AM280" s="1"/>
  <c r="AM281" s="1"/>
  <c r="AM282" s="1"/>
  <c r="AM283" s="1"/>
  <c r="AM284" s="1"/>
  <c r="AM285" s="1"/>
  <c r="AM286" s="1"/>
  <c r="AN266"/>
  <c r="T295"/>
  <c r="S295"/>
  <c r="N295"/>
  <c r="N294"/>
  <c r="N293"/>
  <c r="N292"/>
  <c r="N291"/>
  <c r="N290"/>
  <c r="T289"/>
  <c r="S289"/>
  <c r="N289"/>
  <c r="N288"/>
  <c r="N287"/>
  <c r="N286"/>
  <c r="N285"/>
  <c r="N284"/>
  <c r="N283"/>
  <c r="N282"/>
  <c r="N281"/>
  <c r="N280"/>
  <c r="N279"/>
  <c r="N278"/>
  <c r="N277"/>
  <c r="N276"/>
  <c r="N275"/>
  <c r="N274"/>
  <c r="N273"/>
  <c r="X272"/>
  <c r="N272"/>
  <c r="N271"/>
  <c r="N270"/>
  <c r="N269"/>
  <c r="N268"/>
  <c r="N267"/>
  <c r="N266"/>
  <c r="N265"/>
  <c r="N264"/>
  <c r="N263"/>
  <c r="N262"/>
  <c r="N261"/>
  <c r="N260"/>
  <c r="N259"/>
  <c r="N258"/>
  <c r="N257"/>
  <c r="N256"/>
  <c r="N255"/>
  <c r="N254"/>
  <c r="N253"/>
  <c r="N252"/>
  <c r="N251"/>
  <c r="N250"/>
  <c r="N249"/>
  <c r="N248"/>
  <c r="N247"/>
  <c r="N246"/>
  <c r="N245"/>
  <c r="N244"/>
  <c r="N243"/>
  <c r="N242"/>
  <c r="N241"/>
  <c r="N240"/>
  <c r="X239"/>
  <c r="N239"/>
  <c r="X238"/>
  <c r="N238"/>
  <c r="N237"/>
  <c r="N236"/>
  <c r="X235"/>
  <c r="N235"/>
  <c r="N234"/>
  <c r="N233"/>
  <c r="N232"/>
  <c r="X231"/>
  <c r="N231"/>
  <c r="N230"/>
  <c r="N229"/>
  <c r="N228"/>
  <c r="N227"/>
  <c r="N226"/>
  <c r="N225"/>
  <c r="N224"/>
  <c r="N223"/>
  <c r="N222"/>
  <c r="N221"/>
  <c r="N220"/>
  <c r="N219"/>
  <c r="N218"/>
  <c r="N217"/>
  <c r="N216"/>
  <c r="N215"/>
  <c r="N214"/>
  <c r="N213"/>
  <c r="N212"/>
  <c r="N211"/>
  <c r="N210"/>
  <c r="N209"/>
  <c r="N208"/>
  <c r="N207"/>
  <c r="N206"/>
  <c r="N205"/>
  <c r="N204"/>
  <c r="N203"/>
  <c r="N202"/>
  <c r="N201"/>
  <c r="N200"/>
  <c r="N199"/>
  <c r="N198"/>
  <c r="N197"/>
  <c r="N196"/>
  <c r="N195"/>
  <c r="N194"/>
  <c r="N193"/>
  <c r="N192"/>
  <c r="N191"/>
  <c r="N190"/>
  <c r="N189"/>
  <c r="N188"/>
  <c r="N187"/>
  <c r="N186"/>
  <c r="N185"/>
  <c r="N184"/>
  <c r="N183"/>
  <c r="N182"/>
  <c r="N181"/>
  <c r="N180"/>
  <c r="N179"/>
  <c r="N178"/>
  <c r="N177"/>
  <c r="N176"/>
  <c r="N175"/>
  <c r="N174"/>
  <c r="N173"/>
  <c r="N172"/>
  <c r="N171"/>
  <c r="N170"/>
  <c r="N169"/>
  <c r="N168"/>
  <c r="N167"/>
  <c r="N166"/>
  <c r="N165"/>
  <c r="N164"/>
  <c r="N163"/>
  <c r="N162"/>
  <c r="N161"/>
  <c r="N160"/>
  <c r="N159"/>
  <c r="N158"/>
  <c r="N157"/>
  <c r="N156"/>
  <c r="N155"/>
  <c r="N154"/>
  <c r="H154"/>
  <c r="N153"/>
  <c r="H153"/>
  <c r="N152"/>
  <c r="H152"/>
  <c r="N151"/>
  <c r="N150"/>
  <c r="N149"/>
  <c r="N148"/>
  <c r="N147"/>
  <c r="N146"/>
  <c r="H146"/>
  <c r="N145"/>
  <c r="H145"/>
  <c r="N144"/>
  <c r="H144"/>
  <c r="N143"/>
  <c r="H143"/>
  <c r="N142"/>
  <c r="H142"/>
  <c r="N141"/>
  <c r="H141"/>
  <c r="N140"/>
  <c r="H140"/>
  <c r="N139"/>
  <c r="H139"/>
  <c r="N138"/>
  <c r="H138"/>
  <c r="N137"/>
  <c r="H137"/>
  <c r="N136"/>
  <c r="H136"/>
  <c r="N135"/>
  <c r="H135"/>
  <c r="N134"/>
  <c r="H134"/>
  <c r="N133"/>
  <c r="H133"/>
  <c r="N132"/>
  <c r="H132"/>
  <c r="N131"/>
  <c r="N130"/>
  <c r="N129"/>
  <c r="N128"/>
  <c r="N127"/>
  <c r="N126"/>
  <c r="N125"/>
  <c r="N124"/>
  <c r="N123"/>
  <c r="N122"/>
  <c r="N121"/>
  <c r="N120"/>
  <c r="N119"/>
  <c r="N118"/>
  <c r="N117"/>
  <c r="N116"/>
  <c r="N115"/>
  <c r="H115"/>
  <c r="N114"/>
  <c r="H114"/>
  <c r="N113"/>
  <c r="H113"/>
  <c r="N112"/>
  <c r="N111"/>
  <c r="N110"/>
  <c r="N109"/>
  <c r="N108"/>
  <c r="N107"/>
  <c r="N106"/>
  <c r="N105"/>
  <c r="N104"/>
  <c r="N103"/>
  <c r="N102"/>
  <c r="N101"/>
  <c r="N100"/>
  <c r="N99"/>
  <c r="N98"/>
  <c r="N97"/>
  <c r="H97"/>
  <c r="N96"/>
  <c r="H96"/>
  <c r="N95"/>
  <c r="H95"/>
  <c r="N94"/>
  <c r="H94"/>
  <c r="N93"/>
  <c r="H93"/>
  <c r="N92"/>
  <c r="H92"/>
  <c r="N91"/>
  <c r="H91"/>
  <c r="N90"/>
  <c r="H90"/>
  <c r="N89"/>
  <c r="H89"/>
  <c r="N88"/>
  <c r="H88"/>
  <c r="N87"/>
  <c r="H87"/>
  <c r="N86"/>
  <c r="H86"/>
  <c r="N85"/>
  <c r="H85"/>
  <c r="N84"/>
  <c r="H84"/>
  <c r="N83"/>
  <c r="H83"/>
  <c r="N82"/>
  <c r="H82"/>
  <c r="N81"/>
  <c r="H81"/>
  <c r="N80"/>
  <c r="H80"/>
  <c r="N79"/>
  <c r="N78"/>
  <c r="H78"/>
  <c r="N77"/>
  <c r="N76"/>
  <c r="N75"/>
  <c r="N74"/>
  <c r="N73"/>
  <c r="N72"/>
  <c r="N71"/>
  <c r="N70"/>
  <c r="N69"/>
  <c r="N68"/>
  <c r="N67"/>
  <c r="N66"/>
  <c r="N65"/>
  <c r="N64"/>
  <c r="N63"/>
  <c r="N62"/>
  <c r="N61"/>
  <c r="N60"/>
  <c r="N59"/>
  <c r="N58"/>
  <c r="N57"/>
  <c r="N56"/>
  <c r="N55"/>
  <c r="N54"/>
  <c r="N53"/>
  <c r="N52"/>
  <c r="N51"/>
  <c r="N50"/>
  <c r="N49"/>
  <c r="N48"/>
  <c r="N47"/>
  <c r="N46"/>
  <c r="N45"/>
  <c r="N44"/>
  <c r="N43"/>
  <c r="N42"/>
  <c r="N41"/>
  <c r="N40"/>
  <c r="N39"/>
  <c r="N38"/>
  <c r="N37"/>
  <c r="N36"/>
  <c r="N35"/>
  <c r="N34"/>
  <c r="N33"/>
  <c r="N32"/>
  <c r="N31"/>
  <c r="N30"/>
  <c r="N29"/>
  <c r="N28"/>
  <c r="N27"/>
  <c r="N26"/>
  <c r="H26"/>
  <c r="N25"/>
  <c r="H25"/>
  <c r="N24"/>
  <c r="H24"/>
  <c r="N23"/>
  <c r="H23"/>
  <c r="N22"/>
  <c r="H22"/>
  <c r="N21"/>
  <c r="N20"/>
  <c r="N19"/>
  <c r="N18"/>
  <c r="N17"/>
  <c r="N16"/>
  <c r="N15"/>
  <c r="N14"/>
  <c r="N13"/>
  <c r="N12"/>
  <c r="N11"/>
  <c r="N10"/>
  <c r="N9"/>
  <c r="N8"/>
  <c r="N7"/>
  <c r="N6"/>
  <c r="N5"/>
  <c r="N4"/>
  <c r="N3"/>
  <c r="AM287" l="1"/>
  <c r="AM288" s="1"/>
  <c r="AM289" s="1"/>
  <c r="AM290" s="1"/>
  <c r="AM291" s="1"/>
  <c r="AM292" s="1"/>
  <c r="AM293" s="1"/>
  <c r="AM294" s="1"/>
  <c r="AM295" s="1"/>
  <c r="AM296" s="1"/>
  <c r="AM297" s="1"/>
  <c r="AM298" s="1"/>
  <c r="AM299" s="1"/>
  <c r="AM300" s="1"/>
  <c r="AM301" s="1"/>
  <c r="AM302" s="1"/>
  <c r="AM303" s="1"/>
  <c r="AM304" s="1"/>
  <c r="AM305" s="1"/>
  <c r="AN305" s="1"/>
  <c r="AN286"/>
  <c r="O299"/>
  <c r="C12" i="23" l="1"/>
  <c r="C7" i="5"/>
  <c r="C12" s="1"/>
  <c r="C10" i="23" l="1"/>
  <c r="P258" i="24"/>
  <c r="O241"/>
  <c r="P70"/>
  <c r="O192"/>
  <c r="O40"/>
  <c r="P150"/>
  <c r="O10"/>
  <c r="P10"/>
  <c r="P84"/>
  <c r="P18"/>
  <c r="O99"/>
  <c r="P179"/>
  <c r="P97"/>
  <c r="P129"/>
  <c r="P90"/>
  <c r="O124"/>
  <c r="O103"/>
  <c r="P8"/>
  <c r="P67"/>
  <c r="P147"/>
  <c r="O182"/>
  <c r="O231"/>
  <c r="O155"/>
  <c r="P266"/>
  <c r="O211"/>
  <c r="O175"/>
  <c r="O111"/>
  <c r="O163"/>
  <c r="P169"/>
  <c r="O152"/>
  <c r="O74"/>
  <c r="O19"/>
  <c r="O100"/>
  <c r="O247"/>
  <c r="P154"/>
  <c r="P261"/>
  <c r="P77"/>
  <c r="O86"/>
  <c r="O92"/>
  <c r="O139"/>
  <c r="O89"/>
  <c r="O106"/>
  <c r="P272"/>
  <c r="P192"/>
  <c r="O144"/>
  <c r="O180"/>
  <c r="P177"/>
  <c r="P139"/>
  <c r="O199"/>
  <c r="O148"/>
  <c r="O272"/>
  <c r="O162"/>
  <c r="P231"/>
  <c r="O288"/>
  <c r="O186"/>
  <c r="P213"/>
  <c r="O278"/>
  <c r="P260"/>
  <c r="O48"/>
  <c r="O75"/>
  <c r="P30"/>
  <c r="P239"/>
  <c r="O151"/>
  <c r="O286"/>
  <c r="P96"/>
  <c r="P43"/>
  <c r="O130"/>
  <c r="P148"/>
  <c r="O257"/>
  <c r="P52"/>
  <c r="P262"/>
  <c r="P243"/>
  <c r="O50"/>
  <c r="O249"/>
  <c r="P140"/>
  <c r="P253"/>
  <c r="O216"/>
  <c r="O293"/>
  <c r="O160"/>
  <c r="P62"/>
  <c r="O250"/>
  <c r="P196"/>
  <c r="P186"/>
  <c r="O255"/>
  <c r="P188"/>
  <c r="O11"/>
  <c r="P121"/>
  <c r="O246"/>
  <c r="P66"/>
  <c r="P291"/>
  <c r="P159"/>
  <c r="P155"/>
  <c r="P103"/>
  <c r="P218"/>
  <c r="O108"/>
  <c r="P21"/>
  <c r="O201"/>
  <c r="O18"/>
  <c r="P13"/>
  <c r="O138"/>
  <c r="P185"/>
  <c r="O146"/>
  <c r="P58"/>
  <c r="O230"/>
  <c r="P199"/>
  <c r="O96"/>
  <c r="O234"/>
  <c r="O165"/>
  <c r="P61"/>
  <c r="P216"/>
  <c r="O167"/>
  <c r="O21"/>
  <c r="P161"/>
  <c r="P85"/>
  <c r="O91"/>
  <c r="O101"/>
  <c r="P167"/>
  <c r="O87"/>
  <c r="O13"/>
  <c r="P207"/>
  <c r="P20"/>
  <c r="P17"/>
  <c r="O197"/>
  <c r="O195"/>
  <c r="O235"/>
  <c r="P53"/>
  <c r="P75"/>
  <c r="P115"/>
  <c r="P64"/>
  <c r="P295"/>
  <c r="P171"/>
  <c r="O196"/>
  <c r="O47"/>
  <c r="P195"/>
  <c r="P133"/>
  <c r="O259"/>
  <c r="P172"/>
  <c r="O296"/>
  <c r="O53"/>
  <c r="O37"/>
  <c r="O276"/>
  <c r="O156"/>
  <c r="P285"/>
  <c r="O46"/>
  <c r="O95"/>
  <c r="O200"/>
  <c r="O39"/>
  <c r="P183"/>
  <c r="P152"/>
  <c r="O164"/>
  <c r="O290"/>
  <c r="P164"/>
  <c r="O251"/>
  <c r="P45"/>
  <c r="P49"/>
  <c r="P131"/>
  <c r="O145"/>
  <c r="O123"/>
  <c r="O287"/>
  <c r="O198"/>
  <c r="O57"/>
  <c r="O233"/>
  <c r="P63"/>
  <c r="O203"/>
  <c r="P110"/>
  <c r="P156"/>
  <c r="P41"/>
  <c r="P250"/>
  <c r="P290"/>
  <c r="P69"/>
  <c r="O237"/>
  <c r="P194"/>
  <c r="P24"/>
  <c r="O171"/>
  <c r="P51"/>
  <c r="P193"/>
  <c r="O27"/>
  <c r="P11"/>
  <c r="P273"/>
  <c r="P252"/>
  <c r="O157"/>
  <c r="P157"/>
  <c r="O166"/>
  <c r="O112"/>
  <c r="O110"/>
  <c r="O265"/>
  <c r="O84"/>
  <c r="O36"/>
  <c r="O225"/>
  <c r="O129"/>
  <c r="P162"/>
  <c r="P74"/>
  <c r="O204"/>
  <c r="P219"/>
  <c r="P257"/>
  <c r="O7"/>
  <c r="P220"/>
  <c r="P246"/>
  <c r="O42"/>
  <c r="P25"/>
  <c r="P94"/>
  <c r="O185"/>
  <c r="P12"/>
  <c r="P137"/>
  <c r="P174"/>
  <c r="O219"/>
  <c r="O43"/>
  <c r="P141"/>
  <c r="O159"/>
  <c r="P245"/>
  <c r="O137"/>
  <c r="P227"/>
  <c r="P124"/>
  <c r="O277"/>
  <c r="O242"/>
  <c r="O117"/>
  <c r="P288"/>
  <c r="O78"/>
  <c r="O126"/>
  <c r="P5"/>
  <c r="P7"/>
  <c r="P158"/>
  <c r="O25"/>
  <c r="C13" i="23"/>
  <c r="P56" i="24"/>
  <c r="O64"/>
  <c r="P88"/>
  <c r="P27"/>
  <c r="P293"/>
  <c r="O109"/>
  <c r="O169"/>
  <c r="O45"/>
  <c r="P83"/>
  <c r="O38"/>
  <c r="O258"/>
  <c r="O4"/>
  <c r="O26"/>
  <c r="P16"/>
  <c r="P206"/>
  <c r="P40"/>
  <c r="P31"/>
  <c r="P109"/>
  <c r="O224"/>
  <c r="O149"/>
  <c r="P92"/>
  <c r="P146"/>
  <c r="O6"/>
  <c r="P95"/>
  <c r="P102"/>
  <c r="O3"/>
  <c r="P111"/>
  <c r="P225"/>
  <c r="P29"/>
  <c r="O116"/>
  <c r="O161"/>
  <c r="O207"/>
  <c r="P128"/>
  <c r="O170"/>
  <c r="O189"/>
  <c r="O174"/>
  <c r="P230"/>
  <c r="O67"/>
  <c r="P181"/>
  <c r="P59"/>
  <c r="P57"/>
  <c r="P175"/>
  <c r="O271"/>
  <c r="O56"/>
  <c r="O52"/>
  <c r="O209"/>
  <c r="P42"/>
  <c r="P117"/>
  <c r="P197"/>
  <c r="O269"/>
  <c r="P187"/>
  <c r="P251"/>
  <c r="P296"/>
  <c r="P275"/>
  <c r="P229"/>
  <c r="P91"/>
  <c r="P166"/>
  <c r="O69"/>
  <c r="P99"/>
  <c r="P6"/>
  <c r="O240"/>
  <c r="P267"/>
  <c r="P205"/>
  <c r="O202"/>
  <c r="O227"/>
  <c r="O220"/>
  <c r="P286"/>
  <c r="P263"/>
  <c r="O62"/>
  <c r="P60"/>
  <c r="O213"/>
  <c r="P101"/>
  <c r="O248"/>
  <c r="O35"/>
  <c r="P118"/>
  <c r="O173"/>
  <c r="P3"/>
  <c r="O30"/>
  <c r="P235"/>
  <c r="P108"/>
  <c r="O104"/>
  <c r="O63"/>
  <c r="O176"/>
  <c r="P228"/>
  <c r="P81"/>
  <c r="O263"/>
  <c r="P217"/>
  <c r="O15"/>
  <c r="P198"/>
  <c r="O119"/>
  <c r="O24"/>
  <c r="P120"/>
  <c r="P184"/>
  <c r="P98"/>
  <c r="P80"/>
  <c r="P165"/>
  <c r="P151"/>
  <c r="P104"/>
  <c r="P132"/>
  <c r="O261"/>
  <c r="O8"/>
  <c r="O127"/>
  <c r="O273"/>
  <c r="P276"/>
  <c r="O239"/>
  <c r="O264"/>
  <c r="O121"/>
  <c r="O210"/>
  <c r="O82"/>
  <c r="O214"/>
  <c r="O31"/>
  <c r="O260"/>
  <c r="O88"/>
  <c r="O70"/>
  <c r="P130"/>
  <c r="P72"/>
  <c r="O283"/>
  <c r="P209"/>
  <c r="P38"/>
  <c r="P224"/>
  <c r="P145"/>
  <c r="O284"/>
  <c r="P125"/>
  <c r="O252"/>
  <c r="O294"/>
  <c r="O125"/>
  <c r="P232"/>
  <c r="P122"/>
  <c r="P211"/>
  <c r="O275"/>
  <c r="P269"/>
  <c r="P116"/>
  <c r="O93"/>
  <c r="P282"/>
  <c r="P93"/>
  <c r="O280"/>
  <c r="P37"/>
  <c r="P34"/>
  <c r="O68"/>
  <c r="O254"/>
  <c r="O134"/>
  <c r="P54"/>
  <c r="P55"/>
  <c r="O221"/>
  <c r="O135"/>
  <c r="P168"/>
  <c r="P100"/>
  <c r="P241"/>
  <c r="P78"/>
  <c r="P208"/>
  <c r="P76"/>
  <c r="O243"/>
  <c r="P294"/>
  <c r="P201"/>
  <c r="P86"/>
  <c r="O76"/>
  <c r="O90"/>
  <c r="P89"/>
  <c r="O49"/>
  <c r="O217"/>
  <c r="P114"/>
  <c r="O60"/>
  <c r="O270"/>
  <c r="O107"/>
  <c r="O85"/>
  <c r="P105"/>
  <c r="O98"/>
  <c r="O292"/>
  <c r="O208"/>
  <c r="P48"/>
  <c r="O282"/>
  <c r="O71"/>
  <c r="O279"/>
  <c r="O212"/>
  <c r="O194"/>
  <c r="P138"/>
  <c r="O193"/>
  <c r="P214"/>
  <c r="P71"/>
  <c r="P134"/>
  <c r="P265"/>
  <c r="O184"/>
  <c r="P26"/>
  <c r="P178"/>
  <c r="P68"/>
  <c r="O55"/>
  <c r="O77"/>
  <c r="O253"/>
  <c r="O291"/>
  <c r="O154"/>
  <c r="P173"/>
  <c r="P210"/>
  <c r="P127"/>
  <c r="O179"/>
  <c r="O141"/>
  <c r="O128"/>
  <c r="O79"/>
  <c r="O226"/>
  <c r="P204"/>
  <c r="P202"/>
  <c r="O143"/>
  <c r="P163"/>
  <c r="O59"/>
  <c r="C14" i="23"/>
  <c r="P238" i="24"/>
  <c r="P143"/>
  <c r="O222"/>
  <c r="P87"/>
  <c r="P203"/>
  <c r="P32"/>
  <c r="P182"/>
  <c r="O12"/>
  <c r="O223"/>
  <c r="P189"/>
  <c r="O206"/>
  <c r="P44"/>
  <c r="O97"/>
  <c r="P106"/>
  <c r="P170"/>
  <c r="P142"/>
  <c r="O9"/>
  <c r="P233"/>
  <c r="O133"/>
  <c r="O58"/>
  <c r="P244"/>
  <c r="O172"/>
  <c r="P119"/>
  <c r="P268"/>
  <c r="O32"/>
  <c r="O118"/>
  <c r="P176"/>
  <c r="P126"/>
  <c r="O190"/>
  <c r="P287"/>
  <c r="P153"/>
  <c r="P249"/>
  <c r="O23"/>
  <c r="O17"/>
  <c r="O218"/>
  <c r="O136"/>
  <c r="P255"/>
  <c r="P248"/>
  <c r="O274"/>
  <c r="O295"/>
  <c r="P274"/>
  <c r="P223"/>
  <c r="P191"/>
  <c r="P242"/>
  <c r="O83"/>
  <c r="P237"/>
  <c r="P284"/>
  <c r="P236"/>
  <c r="O229"/>
  <c r="O183"/>
  <c r="O81"/>
  <c r="O285"/>
  <c r="O34"/>
  <c r="O105"/>
  <c r="P281"/>
  <c r="O41"/>
  <c r="O140"/>
  <c r="P292"/>
  <c r="O54"/>
  <c r="P160"/>
  <c r="O178"/>
  <c r="P82"/>
  <c r="O150"/>
  <c r="O158"/>
  <c r="P271"/>
  <c r="P50"/>
  <c r="P221"/>
  <c r="O181"/>
  <c r="P73"/>
  <c r="O29"/>
  <c r="O228"/>
  <c r="O142"/>
  <c r="O51"/>
  <c r="P215"/>
  <c r="O73"/>
  <c r="O122"/>
  <c r="O205"/>
  <c r="O120"/>
  <c r="P4"/>
  <c r="O268"/>
  <c r="O168"/>
  <c r="P36"/>
  <c r="P247"/>
  <c r="P264"/>
  <c r="P180"/>
  <c r="P123"/>
  <c r="O191"/>
  <c r="O238"/>
  <c r="P212"/>
  <c r="P259"/>
  <c r="P240"/>
  <c r="O281"/>
  <c r="C16" i="23"/>
  <c r="O232" i="24"/>
  <c r="P200"/>
  <c r="O262"/>
  <c r="O236"/>
  <c r="P46"/>
  <c r="P277"/>
  <c r="O16"/>
  <c r="P9"/>
  <c r="O187"/>
  <c r="P234"/>
  <c r="P33"/>
  <c r="P19"/>
  <c r="O80"/>
  <c r="P283"/>
  <c r="O102"/>
  <c r="O20"/>
  <c r="P35"/>
  <c r="P47"/>
  <c r="P279"/>
  <c r="O14"/>
  <c r="P112"/>
  <c r="P254"/>
  <c r="O113"/>
  <c r="C15" i="23"/>
  <c r="P113" i="24"/>
  <c r="O28"/>
  <c r="P22"/>
  <c r="O114"/>
  <c r="O132"/>
  <c r="P222"/>
  <c r="P65"/>
  <c r="O177"/>
  <c r="O94"/>
  <c r="O215"/>
  <c r="O188"/>
  <c r="P256"/>
  <c r="P190"/>
  <c r="O61"/>
  <c r="P270"/>
  <c r="P107"/>
  <c r="O44"/>
  <c r="O66"/>
  <c r="P28"/>
  <c r="O65"/>
  <c r="P226"/>
  <c r="O5"/>
  <c r="O289"/>
  <c r="P289"/>
  <c r="P15"/>
  <c r="O33"/>
  <c r="O131"/>
  <c r="O244"/>
  <c r="P79"/>
  <c r="P39"/>
  <c r="P23"/>
  <c r="O147"/>
  <c r="O22"/>
  <c r="O153"/>
  <c r="P280"/>
  <c r="P135"/>
  <c r="P144"/>
  <c r="O72"/>
  <c r="O256"/>
  <c r="P149"/>
  <c r="P136"/>
  <c r="C18" i="23"/>
  <c r="P14" i="24"/>
  <c r="O115"/>
  <c r="O245"/>
  <c r="O267"/>
  <c r="O266"/>
  <c r="P278"/>
  <c r="C16" i="5"/>
  <c r="C20"/>
  <c r="C19"/>
  <c r="C17"/>
  <c r="D17"/>
  <c r="D19"/>
  <c r="C18"/>
  <c r="D15"/>
  <c r="C15"/>
  <c r="D18"/>
  <c r="D20"/>
  <c r="D16"/>
  <c r="Z299" i="24" l="1"/>
  <c r="Q115"/>
  <c r="Q92"/>
  <c r="Q6"/>
  <c r="Q96"/>
  <c r="Q94"/>
  <c r="Q134"/>
  <c r="Q291"/>
  <c r="Q257"/>
  <c r="Q135"/>
  <c r="Q293"/>
  <c r="Q272"/>
  <c r="Q165"/>
  <c r="Q88"/>
  <c r="Q7"/>
  <c r="Q271"/>
  <c r="Q248"/>
  <c r="Q145"/>
  <c r="Q11"/>
  <c r="Q280"/>
  <c r="Q249"/>
  <c r="Q220"/>
  <c r="Q277"/>
  <c r="Q240"/>
  <c r="Q95"/>
  <c r="Q25"/>
  <c r="Q87"/>
  <c r="Q290"/>
  <c r="Q187"/>
  <c r="Q215"/>
  <c r="Q177"/>
  <c r="Q84"/>
  <c r="Q26"/>
  <c r="Q83"/>
  <c r="Q89"/>
  <c r="Q152"/>
  <c r="Q144"/>
  <c r="Q295"/>
  <c r="Q203"/>
  <c r="Q247"/>
  <c r="Q193"/>
  <c r="Q216"/>
  <c r="Q80"/>
  <c r="Q264"/>
  <c r="Q195"/>
  <c r="Q185"/>
  <c r="Q292"/>
  <c r="Q229"/>
  <c r="Q3"/>
  <c r="Q188"/>
  <c r="Q113"/>
  <c r="Q86"/>
  <c r="Q78"/>
  <c r="Q91"/>
  <c r="Q273"/>
  <c r="Q155"/>
  <c r="Q143"/>
  <c r="Q90"/>
  <c r="Q142"/>
  <c r="Q153"/>
  <c r="Q235"/>
  <c r="Q225"/>
  <c r="Q22"/>
  <c r="Q259"/>
  <c r="Q130"/>
  <c r="Q124"/>
  <c r="Q132"/>
  <c r="Q232"/>
  <c r="Q163"/>
  <c r="Q275"/>
  <c r="Q213"/>
  <c r="Q172"/>
  <c r="Q53"/>
  <c r="Q170"/>
  <c r="Q82"/>
  <c r="Q97"/>
  <c r="Q251"/>
  <c r="Q241"/>
  <c r="Q136"/>
  <c r="Q139"/>
  <c r="Q114"/>
  <c r="Q265"/>
  <c r="Q120"/>
  <c r="Q81"/>
  <c r="Q231"/>
  <c r="Q191"/>
  <c r="Q252"/>
  <c r="Q93"/>
  <c r="Q85"/>
  <c r="Q219"/>
  <c r="Q209"/>
  <c r="Q24"/>
  <c r="Q140"/>
  <c r="Q289"/>
  <c r="Q261"/>
  <c r="Q167"/>
  <c r="Q159"/>
  <c r="Q236"/>
  <c r="Q15"/>
  <c r="Q234"/>
  <c r="Q154"/>
  <c r="Q23"/>
  <c r="Q146"/>
  <c r="Q141"/>
  <c r="Q283"/>
  <c r="Q171"/>
  <c r="Q183"/>
  <c r="Q161"/>
  <c r="Q133"/>
  <c r="Q137"/>
  <c r="Q296"/>
  <c r="Q10"/>
  <c r="Q255"/>
  <c r="Q197"/>
  <c r="Q284"/>
  <c r="Q156"/>
  <c r="Q138"/>
  <c r="Q9"/>
  <c r="Q227"/>
  <c r="Q279"/>
  <c r="Q217"/>
  <c r="Q8"/>
  <c r="Q223"/>
  <c r="Q245"/>
  <c r="Q181"/>
  <c r="Q268"/>
  <c r="Q204"/>
  <c r="Q131"/>
  <c r="Q148"/>
  <c r="Q107"/>
  <c r="Q69"/>
  <c r="Q37"/>
  <c r="Q266"/>
  <c r="Q202"/>
  <c r="Q129"/>
  <c r="Q147"/>
  <c r="Q106"/>
  <c r="Q68"/>
  <c r="Q36"/>
  <c r="Q192"/>
  <c r="Q119"/>
  <c r="Q101"/>
  <c r="Q63"/>
  <c r="Q31"/>
  <c r="Q254"/>
  <c r="Q190"/>
  <c r="Q117"/>
  <c r="Q100"/>
  <c r="Q62"/>
  <c r="Q30"/>
  <c r="Q5"/>
  <c r="Q211"/>
  <c r="Q263"/>
  <c r="Q201"/>
  <c r="Q288"/>
  <c r="Q4"/>
  <c r="Q207"/>
  <c r="Q237"/>
  <c r="Q173"/>
  <c r="Q260"/>
  <c r="Q196"/>
  <c r="Q123"/>
  <c r="Q103"/>
  <c r="Q65"/>
  <c r="Q33"/>
  <c r="Q258"/>
  <c r="Q194"/>
  <c r="Q121"/>
  <c r="Q102"/>
  <c r="Q64"/>
  <c r="Q32"/>
  <c r="Q184"/>
  <c r="Q21"/>
  <c r="Q59"/>
  <c r="Q27"/>
  <c r="Q246"/>
  <c r="Q182"/>
  <c r="Q20"/>
  <c r="Q58"/>
  <c r="Q99"/>
  <c r="Q61"/>
  <c r="Q29"/>
  <c r="Q250"/>
  <c r="Q186"/>
  <c r="Q98"/>
  <c r="Q60"/>
  <c r="Q28"/>
  <c r="Q176"/>
  <c r="Q17"/>
  <c r="Q55"/>
  <c r="Q238"/>
  <c r="Q174"/>
  <c r="Q16"/>
  <c r="Q54"/>
  <c r="Q287"/>
  <c r="Q179"/>
  <c r="Q199"/>
  <c r="Q169"/>
  <c r="Q256"/>
  <c r="Q285"/>
  <c r="Q175"/>
  <c r="Q221"/>
  <c r="Q157"/>
  <c r="Q244"/>
  <c r="Q180"/>
  <c r="Q19"/>
  <c r="Q57"/>
  <c r="Q242"/>
  <c r="Q178"/>
  <c r="Q18"/>
  <c r="Q56"/>
  <c r="Q168"/>
  <c r="Q13"/>
  <c r="Q51"/>
  <c r="Q230"/>
  <c r="Q166"/>
  <c r="Q79"/>
  <c r="Q12"/>
  <c r="Q50"/>
  <c r="Q14"/>
  <c r="Q52"/>
  <c r="Q160"/>
  <c r="Q47"/>
  <c r="Q286"/>
  <c r="Q222"/>
  <c r="Q158"/>
  <c r="Q46"/>
  <c r="Q269"/>
  <c r="Q126"/>
  <c r="Q128"/>
  <c r="Q224"/>
  <c r="Q267"/>
  <c r="Q205"/>
  <c r="Q228"/>
  <c r="Q164"/>
  <c r="Q281"/>
  <c r="Q49"/>
  <c r="Q226"/>
  <c r="Q162"/>
  <c r="Q48"/>
  <c r="Q75"/>
  <c r="Q43"/>
  <c r="Q118"/>
  <c r="Q278"/>
  <c r="Q214"/>
  <c r="Q112"/>
  <c r="Q74"/>
  <c r="Q42"/>
  <c r="Q77"/>
  <c r="Q45"/>
  <c r="Q122"/>
  <c r="Q282"/>
  <c r="Q218"/>
  <c r="Q76"/>
  <c r="Q44"/>
  <c r="Q208"/>
  <c r="Q150"/>
  <c r="Q109"/>
  <c r="Q71"/>
  <c r="Q39"/>
  <c r="Q270"/>
  <c r="Q206"/>
  <c r="Q149"/>
  <c r="Q108"/>
  <c r="Q70"/>
  <c r="Q38"/>
  <c r="Q243"/>
  <c r="Q294"/>
  <c r="Q233"/>
  <c r="Q239"/>
  <c r="Q253"/>
  <c r="Q189"/>
  <c r="Q116"/>
  <c r="Q276"/>
  <c r="Q212"/>
  <c r="Q111"/>
  <c r="Q73"/>
  <c r="Q41"/>
  <c r="Q274"/>
  <c r="Q210"/>
  <c r="Q151"/>
  <c r="Q110"/>
  <c r="Q72"/>
  <c r="Q40"/>
  <c r="Q200"/>
  <c r="Q127"/>
  <c r="Q105"/>
  <c r="Q67"/>
  <c r="Q35"/>
  <c r="Q262"/>
  <c r="Q198"/>
  <c r="Q125"/>
  <c r="Q104"/>
  <c r="Q66"/>
  <c r="Q34"/>
  <c r="C17" i="23"/>
</calcChain>
</file>

<file path=xl/sharedStrings.xml><?xml version="1.0" encoding="utf-8"?>
<sst xmlns="http://schemas.openxmlformats.org/spreadsheetml/2006/main" count="278" uniqueCount="112">
  <si>
    <t>Risk Free Rate</t>
  </si>
  <si>
    <t>Today's Date</t>
  </si>
  <si>
    <t>Delta</t>
  </si>
  <si>
    <t>Gamma</t>
  </si>
  <si>
    <t>Vega</t>
  </si>
  <si>
    <t>Theta</t>
  </si>
  <si>
    <t>Volatility</t>
  </si>
  <si>
    <t>Call Option</t>
  </si>
  <si>
    <t>Put Option</t>
  </si>
  <si>
    <t>DTE (Years)</t>
  </si>
  <si>
    <t>Rho</t>
  </si>
  <si>
    <t>Dividened Yield</t>
  </si>
  <si>
    <t>Welcome To OptionMath.com</t>
  </si>
  <si>
    <t>If you have any questions, suggestions for this workbook or even have a bug to report, please feel free to email us at Questions@OptionMath.com</t>
  </si>
  <si>
    <t>This OptionMath.com spreadsheet is intended as a companion for the books "Options Math" and "The Complete Book of Options Spreads and Combinations" by Scott Nations and published By John Wiley &amp; Sons</t>
  </si>
  <si>
    <t>Strike Price</t>
  </si>
  <si>
    <t>Expiration Date</t>
  </si>
  <si>
    <t>The Inputs</t>
  </si>
  <si>
    <t>The Outputs</t>
  </si>
  <si>
    <t>OptionMath.com</t>
  </si>
  <si>
    <t>Macros must be enabled for the calculator to operate.</t>
  </si>
  <si>
    <t>Output values will be displayed underneath in the light blue shaded cells.</t>
  </si>
  <si>
    <t>Enter the requested option parameters in the dark blue cells.</t>
  </si>
  <si>
    <t>Theoretical Option Value</t>
  </si>
  <si>
    <t>The amount by which we would expect the option price to change for each $1 change in the price of the undelrying stock.  Delta is also the percentage likelihood that the option will be ITM at expiration.</t>
  </si>
  <si>
    <t>The amount by which the option's Delta will change with a $1 change in the price of the undelrying stock.</t>
  </si>
  <si>
    <t>The amount by which the option's price will change given the passage of a single day.  Note that the option's value will always be expected to decline.</t>
  </si>
  <si>
    <t>The amount by which the option's price will change given a 1% (i.e. from 20% to 21%) change in the volatility input.</t>
  </si>
  <si>
    <t>The amount by which the option's price will change given a 1% (i.e. from 1% to 2%) change in the interest rate input.</t>
  </si>
  <si>
    <t>The current price of the stock or ETF</t>
  </si>
  <si>
    <t>The strike price of the option</t>
  </si>
  <si>
    <t>The expiration date of the option (if you're Interested In a hypothectical option with "X" days to expiration simply make this cell's formula today's date, Cell C6, plus X.</t>
  </si>
  <si>
    <t>The historical volatility of the underlying stock or your best guess of the realized volatility for the term of the option</t>
  </si>
  <si>
    <t>The current risk free interest rate.  The 30-day T-bill rate is standard</t>
  </si>
  <si>
    <t>The annualized dividend yield.  Dividends present special problems for all calculators.  We'll discuss further in the endnotes page</t>
  </si>
  <si>
    <t>The worksheet labelled Option Price Calculator is a simple option pricer.  Directions for use are included.</t>
  </si>
  <si>
    <t xml:space="preserve">Option Price Calculator </t>
  </si>
  <si>
    <t>Implied Volatility Calculator</t>
  </si>
  <si>
    <t>The Implied Volatility Calculator spreadsheet allows you to calculate the volatility implied by observed option prices</t>
  </si>
  <si>
    <t>Observed Option Price</t>
  </si>
  <si>
    <t>Option Implied Volatility</t>
  </si>
  <si>
    <t>Price of Underlying Stock</t>
  </si>
  <si>
    <t>Option Price Calculator</t>
  </si>
  <si>
    <t>Option Type (P for Put or C for Call)</t>
  </si>
  <si>
    <t>p</t>
  </si>
  <si>
    <t>Spread Calculator</t>
  </si>
  <si>
    <t>In order to calculate the theoretical price, implied volatilities, or total greeks for any spread or combination simply calculate for each leg independently and then add or subtract.  Check back as we're adding calculation pages for each type of individula spread.</t>
  </si>
  <si>
    <t>ATM 200</t>
  </si>
  <si>
    <t>A</t>
  </si>
  <si>
    <t>INDEX 9:30</t>
  </si>
  <si>
    <t>CALL</t>
  </si>
  <si>
    <t>PUT</t>
  </si>
  <si>
    <t>PRICE C 9:30</t>
  </si>
  <si>
    <t>PRICE P 9:30</t>
  </si>
  <si>
    <t>PRICE C 15:15</t>
  </si>
  <si>
    <t>PRICE P 15:15</t>
  </si>
  <si>
    <t>PL 70%</t>
  </si>
  <si>
    <t>B Expry</t>
  </si>
  <si>
    <t>Expiry D</t>
  </si>
  <si>
    <t>DTE</t>
  </si>
  <si>
    <t>DIV</t>
  </si>
  <si>
    <t>IR</t>
  </si>
  <si>
    <t>IV CALL</t>
  </si>
  <si>
    <t>IV PUT</t>
  </si>
  <si>
    <t>DIFF IV</t>
  </si>
  <si>
    <t>DATE</t>
  </si>
  <si>
    <t>March</t>
  </si>
  <si>
    <t>February</t>
  </si>
  <si>
    <t>November</t>
  </si>
  <si>
    <t>December</t>
  </si>
  <si>
    <t>October</t>
  </si>
  <si>
    <t>September</t>
  </si>
  <si>
    <t>August</t>
  </si>
  <si>
    <t>July</t>
  </si>
  <si>
    <t>June</t>
  </si>
  <si>
    <t>May</t>
  </si>
  <si>
    <t>April</t>
  </si>
  <si>
    <t>January</t>
  </si>
  <si>
    <t>Stdev</t>
  </si>
  <si>
    <t>Ratio</t>
  </si>
  <si>
    <t>Total</t>
  </si>
  <si>
    <t>Future Profit</t>
  </si>
  <si>
    <t>Options Profit</t>
  </si>
  <si>
    <t>Average</t>
  </si>
  <si>
    <t>Cumulative</t>
  </si>
  <si>
    <t>Future</t>
  </si>
  <si>
    <t>Options</t>
  </si>
  <si>
    <t>Cumumative</t>
  </si>
  <si>
    <t>Friday</t>
  </si>
  <si>
    <t>Monday</t>
  </si>
  <si>
    <t>Tuesday</t>
  </si>
  <si>
    <t>Wednesday</t>
  </si>
  <si>
    <t>Thursday</t>
  </si>
  <si>
    <t xml:space="preserve">8th </t>
  </si>
  <si>
    <t>Call IV</t>
  </si>
  <si>
    <t>Put IV</t>
  </si>
  <si>
    <t>Spot</t>
  </si>
  <si>
    <t>Call Strike</t>
  </si>
  <si>
    <t>Put Strike</t>
  </si>
  <si>
    <t>Call Price</t>
  </si>
  <si>
    <t>Put Price</t>
  </si>
  <si>
    <t>Day</t>
  </si>
  <si>
    <t>Futures</t>
  </si>
  <si>
    <t>Buy</t>
  </si>
  <si>
    <t>Sell</t>
  </si>
  <si>
    <t>70% ATM Range</t>
  </si>
  <si>
    <t xml:space="preserve">Upper </t>
  </si>
  <si>
    <t>Lower</t>
  </si>
  <si>
    <t>Closing</t>
  </si>
  <si>
    <t>Call</t>
  </si>
  <si>
    <t>Put</t>
  </si>
  <si>
    <t>31030.00_1648,65.60,148.95</t>
  </si>
</sst>
</file>

<file path=xl/styles.xml><?xml version="1.0" encoding="utf-8"?>
<styleSheet xmlns="http://schemas.openxmlformats.org/spreadsheetml/2006/main">
  <numFmts count="2">
    <numFmt numFmtId="164" formatCode="0.00000"/>
    <numFmt numFmtId="165" formatCode="0.00_);[Red]\(0.00\)"/>
  </numFmts>
  <fonts count="16">
    <font>
      <sz val="10"/>
      <name val="Arial"/>
    </font>
    <font>
      <sz val="8"/>
      <name val="Arial"/>
      <family val="2"/>
    </font>
    <font>
      <i/>
      <sz val="10"/>
      <name val="Arial"/>
      <family val="2"/>
    </font>
    <font>
      <sz val="10"/>
      <name val="Verdana"/>
      <family val="2"/>
    </font>
    <font>
      <b/>
      <sz val="16"/>
      <name val="Garamond"/>
      <family val="1"/>
    </font>
    <font>
      <u/>
      <sz val="10"/>
      <color indexed="12"/>
      <name val="Arial"/>
      <family val="2"/>
    </font>
    <font>
      <sz val="10"/>
      <name val="Arial"/>
      <family val="2"/>
    </font>
    <font>
      <sz val="24"/>
      <name val="Arial"/>
      <family val="2"/>
    </font>
    <font>
      <sz val="14"/>
      <name val="Arial"/>
      <family val="2"/>
    </font>
    <font>
      <sz val="10"/>
      <color theme="0"/>
      <name val="Arial"/>
      <family val="2"/>
    </font>
    <font>
      <sz val="14"/>
      <color rgb="FF002060"/>
      <name val="Arial"/>
      <family val="2"/>
    </font>
    <font>
      <b/>
      <sz val="10"/>
      <color rgb="FF002060"/>
      <name val="Arial"/>
      <family val="2"/>
    </font>
    <font>
      <sz val="10"/>
      <color rgb="FF002060"/>
      <name val="Arial"/>
      <family val="2"/>
    </font>
    <font>
      <sz val="10"/>
      <name val="Arial"/>
      <family val="2"/>
    </font>
    <font>
      <sz val="11"/>
      <color rgb="FFFF0000"/>
      <name val="Calibri"/>
      <family val="2"/>
      <scheme val="minor"/>
    </font>
    <font>
      <sz val="11"/>
      <name val="Calibri"/>
      <family val="2"/>
      <scheme val="minor"/>
    </font>
  </fonts>
  <fills count="5">
    <fill>
      <patternFill patternType="none"/>
    </fill>
    <fill>
      <patternFill patternType="gray125"/>
    </fill>
    <fill>
      <patternFill patternType="solid">
        <fgColor rgb="FF002060"/>
        <bgColor indexed="64"/>
      </patternFill>
    </fill>
    <fill>
      <patternFill patternType="solid">
        <fgColor rgb="FFA3C2FF"/>
        <bgColor indexed="64"/>
      </patternFill>
    </fill>
    <fill>
      <patternFill patternType="solid">
        <fgColor theme="3" tint="0.59999389629810485"/>
        <bgColor indexed="64"/>
      </patternFill>
    </fill>
  </fills>
  <borders count="25">
    <border>
      <left/>
      <right/>
      <top/>
      <bottom/>
      <diagonal/>
    </border>
    <border>
      <left/>
      <right style="thin">
        <color indexed="64"/>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
      <left/>
      <right style="thin">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thin">
        <color indexed="64"/>
      </top>
      <bottom/>
      <diagonal/>
    </border>
    <border>
      <left/>
      <right/>
      <top style="thin">
        <color indexed="64"/>
      </top>
      <bottom/>
      <diagonal/>
    </border>
    <border>
      <left style="medium">
        <color indexed="64"/>
      </left>
      <right style="medium">
        <color indexed="64"/>
      </right>
      <top/>
      <bottom style="thin">
        <color indexed="64"/>
      </bottom>
      <diagonal/>
    </border>
  </borders>
  <cellStyleXfs count="3">
    <xf numFmtId="0" fontId="0" fillId="0" borderId="0"/>
    <xf numFmtId="0" fontId="5" fillId="0" borderId="0" applyNumberFormat="0" applyFill="0" applyBorder="0" applyAlignment="0" applyProtection="0">
      <alignment vertical="top"/>
      <protection locked="0"/>
    </xf>
    <xf numFmtId="9" fontId="13" fillId="0" borderId="0" applyFont="0" applyFill="0" applyBorder="0" applyAlignment="0" applyProtection="0"/>
  </cellStyleXfs>
  <cellXfs count="84">
    <xf numFmtId="0" fontId="0" fillId="0" borderId="0" xfId="0"/>
    <xf numFmtId="4" fontId="0" fillId="0" borderId="0" xfId="0" applyNumberFormat="1"/>
    <xf numFmtId="0" fontId="0" fillId="0" borderId="0" xfId="0" applyAlignment="1">
      <alignment horizontal="right"/>
    </xf>
    <xf numFmtId="0" fontId="3" fillId="0" borderId="0" xfId="0" applyFont="1"/>
    <xf numFmtId="0" fontId="4" fillId="0" borderId="0" xfId="0" applyFont="1"/>
    <xf numFmtId="0" fontId="2" fillId="0" borderId="0" xfId="0" applyFont="1"/>
    <xf numFmtId="0" fontId="5" fillId="0" borderId="0" xfId="1" applyAlignment="1" applyProtection="1"/>
    <xf numFmtId="0" fontId="6" fillId="0" borderId="0" xfId="0" applyFont="1"/>
    <xf numFmtId="0" fontId="3" fillId="0" borderId="0" xfId="0" applyFont="1" applyAlignment="1">
      <alignment vertical="center"/>
    </xf>
    <xf numFmtId="0" fontId="0" fillId="0" borderId="2" xfId="0" applyBorder="1" applyAlignment="1">
      <alignment horizontal="left"/>
    </xf>
    <xf numFmtId="0" fontId="0" fillId="0" borderId="3" xfId="0" applyBorder="1" applyAlignment="1">
      <alignment horizontal="left"/>
    </xf>
    <xf numFmtId="0" fontId="6" fillId="0" borderId="2" xfId="0" applyFont="1" applyBorder="1" applyAlignment="1">
      <alignment horizontal="left"/>
    </xf>
    <xf numFmtId="0" fontId="9" fillId="2" borderId="4" xfId="0" applyFont="1" applyFill="1" applyBorder="1"/>
    <xf numFmtId="0" fontId="9" fillId="2" borderId="5" xfId="0" applyFont="1" applyFill="1" applyBorder="1"/>
    <xf numFmtId="14" fontId="9" fillId="2" borderId="5" xfId="0" applyNumberFormat="1" applyFont="1" applyFill="1" applyBorder="1"/>
    <xf numFmtId="10" fontId="9" fillId="2" borderId="5" xfId="0" applyNumberFormat="1" applyFont="1" applyFill="1" applyBorder="1"/>
    <xf numFmtId="10" fontId="9" fillId="2" borderId="6" xfId="0" applyNumberFormat="1" applyFont="1" applyFill="1" applyBorder="1"/>
    <xf numFmtId="164" fontId="6" fillId="3" borderId="1" xfId="0" applyNumberFormat="1" applyFont="1" applyFill="1" applyBorder="1" applyAlignment="1">
      <alignment horizontal="center"/>
    </xf>
    <xf numFmtId="0" fontId="9" fillId="0" borderId="0" xfId="0" applyFont="1" applyBorder="1" applyAlignment="1" applyProtection="1">
      <alignment horizontal="right"/>
      <protection hidden="1"/>
    </xf>
    <xf numFmtId="4" fontId="9" fillId="0" borderId="0" xfId="0" applyNumberFormat="1" applyFont="1" applyFill="1" applyBorder="1" applyProtection="1">
      <protection hidden="1"/>
    </xf>
    <xf numFmtId="0" fontId="11" fillId="0" borderId="8" xfId="0" applyFont="1" applyFill="1" applyBorder="1" applyAlignment="1">
      <alignment horizontal="right"/>
    </xf>
    <xf numFmtId="0" fontId="12" fillId="0" borderId="9" xfId="0" applyFont="1" applyFill="1" applyBorder="1" applyAlignment="1">
      <alignment horizontal="center"/>
    </xf>
    <xf numFmtId="0" fontId="12" fillId="0" borderId="1" xfId="0" applyFont="1" applyFill="1" applyBorder="1" applyAlignment="1">
      <alignment horizontal="center"/>
    </xf>
    <xf numFmtId="0" fontId="6" fillId="0" borderId="2" xfId="0" applyFont="1" applyBorder="1" applyAlignment="1"/>
    <xf numFmtId="0" fontId="6" fillId="0" borderId="0" xfId="0" applyFont="1" applyBorder="1" applyAlignment="1"/>
    <xf numFmtId="14" fontId="9" fillId="2" borderId="5" xfId="0" applyNumberFormat="1" applyFont="1" applyFill="1" applyBorder="1" applyAlignment="1"/>
    <xf numFmtId="0" fontId="6" fillId="0" borderId="0" xfId="0" applyFont="1" applyAlignment="1"/>
    <xf numFmtId="10" fontId="9" fillId="2" borderId="5" xfId="0" applyNumberFormat="1" applyFont="1" applyFill="1" applyBorder="1" applyAlignment="1"/>
    <xf numFmtId="2" fontId="9" fillId="2" borderId="5" xfId="0" applyNumberFormat="1" applyFont="1" applyFill="1" applyBorder="1"/>
    <xf numFmtId="0" fontId="6" fillId="0" borderId="10" xfId="0" applyFont="1" applyBorder="1" applyAlignment="1">
      <alignment horizontal="left"/>
    </xf>
    <xf numFmtId="0" fontId="9" fillId="2" borderId="5" xfId="0" applyFont="1" applyFill="1" applyBorder="1" applyAlignment="1">
      <alignment horizontal="right"/>
    </xf>
    <xf numFmtId="9" fontId="6" fillId="3" borderId="1" xfId="2" applyFont="1" applyFill="1" applyBorder="1" applyAlignment="1">
      <alignment horizontal="center"/>
    </xf>
    <xf numFmtId="0" fontId="0" fillId="0" borderId="0" xfId="0" applyBorder="1"/>
    <xf numFmtId="0" fontId="0" fillId="0" borderId="16" xfId="0" applyBorder="1"/>
    <xf numFmtId="15" fontId="0" fillId="0" borderId="17" xfId="0" applyNumberFormat="1" applyBorder="1"/>
    <xf numFmtId="165" fontId="0" fillId="0" borderId="16" xfId="0" applyNumberFormat="1" applyBorder="1"/>
    <xf numFmtId="20" fontId="0" fillId="0" borderId="0" xfId="0" applyNumberFormat="1"/>
    <xf numFmtId="15" fontId="0" fillId="0" borderId="18" xfId="0" applyNumberFormat="1" applyBorder="1"/>
    <xf numFmtId="15" fontId="0" fillId="0" borderId="19" xfId="0" applyNumberFormat="1" applyBorder="1"/>
    <xf numFmtId="1" fontId="0" fillId="0" borderId="0" xfId="0" applyNumberFormat="1"/>
    <xf numFmtId="15" fontId="0" fillId="0" borderId="20" xfId="0" applyNumberFormat="1" applyBorder="1"/>
    <xf numFmtId="0" fontId="0" fillId="0" borderId="0" xfId="0" applyFill="1"/>
    <xf numFmtId="15" fontId="0" fillId="0" borderId="17" xfId="0" applyNumberFormat="1" applyFill="1" applyBorder="1"/>
    <xf numFmtId="165" fontId="0" fillId="0" borderId="16" xfId="0" applyNumberFormat="1" applyFill="1" applyBorder="1"/>
    <xf numFmtId="15" fontId="0" fillId="0" borderId="18" xfId="0" applyNumberFormat="1" applyFill="1" applyBorder="1"/>
    <xf numFmtId="0" fontId="0" fillId="0" borderId="0" xfId="0" applyFill="1" applyBorder="1"/>
    <xf numFmtId="20" fontId="0" fillId="0" borderId="0" xfId="0" applyNumberFormat="1" applyFill="1"/>
    <xf numFmtId="15" fontId="0" fillId="0" borderId="20" xfId="0" applyNumberFormat="1" applyFill="1" applyBorder="1"/>
    <xf numFmtId="15" fontId="0" fillId="0" borderId="21" xfId="0" applyNumberFormat="1" applyFill="1" applyBorder="1"/>
    <xf numFmtId="15" fontId="0" fillId="0" borderId="22" xfId="0" applyNumberFormat="1" applyFill="1" applyBorder="1"/>
    <xf numFmtId="15" fontId="0" fillId="0" borderId="21" xfId="0" applyNumberFormat="1" applyBorder="1"/>
    <xf numFmtId="20" fontId="0" fillId="0" borderId="0" xfId="0" applyNumberFormat="1" applyBorder="1"/>
    <xf numFmtId="0" fontId="0" fillId="0" borderId="23" xfId="0" applyBorder="1"/>
    <xf numFmtId="20" fontId="0" fillId="0" borderId="23" xfId="0" applyNumberFormat="1" applyBorder="1"/>
    <xf numFmtId="0" fontId="14" fillId="0" borderId="0" xfId="0" applyFont="1"/>
    <xf numFmtId="0" fontId="0" fillId="0" borderId="7" xfId="0" applyBorder="1"/>
    <xf numFmtId="15" fontId="0" fillId="0" borderId="24" xfId="0" applyNumberFormat="1" applyBorder="1"/>
    <xf numFmtId="20" fontId="0" fillId="0" borderId="7" xfId="0" applyNumberFormat="1" applyBorder="1"/>
    <xf numFmtId="0" fontId="15" fillId="0" borderId="0" xfId="0" applyFont="1"/>
    <xf numFmtId="1" fontId="0" fillId="0" borderId="0" xfId="0" applyNumberFormat="1" applyBorder="1"/>
    <xf numFmtId="1" fontId="0" fillId="0" borderId="0" xfId="0" applyNumberFormat="1" applyFill="1" applyBorder="1"/>
    <xf numFmtId="9" fontId="0" fillId="0" borderId="0" xfId="2" applyFont="1"/>
    <xf numFmtId="0" fontId="0" fillId="0" borderId="0" xfId="0" applyAlignment="1">
      <alignment horizontal="center"/>
    </xf>
    <xf numFmtId="9" fontId="0" fillId="0" borderId="0" xfId="2" applyFont="1" applyAlignment="1">
      <alignment horizontal="center"/>
    </xf>
    <xf numFmtId="1" fontId="0" fillId="0" borderId="0" xfId="2" applyNumberFormat="1" applyFont="1" applyAlignment="1">
      <alignment horizontal="center"/>
    </xf>
    <xf numFmtId="0" fontId="0" fillId="4" borderId="0" xfId="0" applyFill="1"/>
    <xf numFmtId="0" fontId="0" fillId="4" borderId="0" xfId="0" applyFill="1" applyAlignment="1">
      <alignment horizontal="center"/>
    </xf>
    <xf numFmtId="0" fontId="0" fillId="4" borderId="0" xfId="0" applyFont="1" applyFill="1" applyAlignment="1">
      <alignment horizontal="center"/>
    </xf>
    <xf numFmtId="0" fontId="0" fillId="4" borderId="13" xfId="0" applyFill="1" applyBorder="1"/>
    <xf numFmtId="0" fontId="0" fillId="4" borderId="14" xfId="0" applyFill="1" applyBorder="1"/>
    <xf numFmtId="0" fontId="0" fillId="4" borderId="15" xfId="0" applyFill="1" applyBorder="1"/>
    <xf numFmtId="0" fontId="0" fillId="4" borderId="0" xfId="0" applyFont="1" applyFill="1" applyBorder="1"/>
    <xf numFmtId="165" fontId="0" fillId="0" borderId="0" xfId="0" applyNumberFormat="1"/>
    <xf numFmtId="0" fontId="0" fillId="0" borderId="0" xfId="0" applyNumberFormat="1"/>
    <xf numFmtId="16" fontId="0" fillId="0" borderId="0" xfId="0" applyNumberFormat="1"/>
    <xf numFmtId="10" fontId="0" fillId="0" borderId="0" xfId="0" applyNumberFormat="1"/>
    <xf numFmtId="10" fontId="0" fillId="4" borderId="0" xfId="0" applyNumberFormat="1" applyFont="1" applyFill="1" applyBorder="1"/>
    <xf numFmtId="10" fontId="0" fillId="0" borderId="0" xfId="2" applyNumberFormat="1" applyFont="1"/>
    <xf numFmtId="0" fontId="3" fillId="0" borderId="0" xfId="0" applyFont="1" applyAlignment="1">
      <alignment horizontal="left" vertical="center" wrapText="1"/>
    </xf>
    <xf numFmtId="0" fontId="10" fillId="0" borderId="7" xfId="0" applyFont="1" applyFill="1" applyBorder="1" applyAlignment="1">
      <alignment horizontal="center"/>
    </xf>
    <xf numFmtId="0" fontId="7" fillId="0" borderId="0" xfId="0" applyFont="1" applyAlignment="1">
      <alignment horizontal="left"/>
    </xf>
    <xf numFmtId="0" fontId="8" fillId="0" borderId="0" xfId="0" applyFont="1" applyAlignment="1">
      <alignment vertical="center"/>
    </xf>
    <xf numFmtId="0" fontId="0" fillId="0" borderId="11" xfId="0" applyBorder="1" applyAlignment="1">
      <alignment horizontal="center"/>
    </xf>
    <xf numFmtId="0" fontId="0" fillId="0" borderId="12" xfId="0" applyBorder="1" applyAlignment="1">
      <alignment horizontal="center"/>
    </xf>
  </cellXfs>
  <cellStyles count="3">
    <cellStyle name="Hyperlink" xfId="1" builtinId="8"/>
    <cellStyle name="Normal" xfId="0" builtinId="0"/>
    <cellStyle name="Percent" xfId="2" builtinId="5"/>
  </cellStyles>
  <dxfs count="2">
    <dxf>
      <fill>
        <patternFill>
          <bgColor theme="2" tint="-0.499984740745262"/>
        </patternFill>
      </fill>
    </dxf>
    <dxf>
      <fill>
        <patternFill patternType="solid">
          <fgColor theme="0"/>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sheetPr codeName="Sheet9"/>
  <dimension ref="A1:J20"/>
  <sheetViews>
    <sheetView showGridLines="0" workbookViewId="0">
      <selection activeCell="A2" sqref="A2"/>
    </sheetView>
  </sheetViews>
  <sheetFormatPr defaultRowHeight="12.75"/>
  <cols>
    <col min="1" max="16384" width="9.140625" style="3"/>
  </cols>
  <sheetData>
    <row r="1" spans="1:10" ht="21">
      <c r="A1" s="4" t="s">
        <v>12</v>
      </c>
      <c r="C1" s="8"/>
    </row>
    <row r="3" spans="1:10" ht="52.5" customHeight="1">
      <c r="A3" s="78" t="s">
        <v>14</v>
      </c>
      <c r="B3" s="78"/>
      <c r="C3" s="78"/>
      <c r="D3" s="78"/>
      <c r="E3" s="78"/>
      <c r="F3" s="78"/>
      <c r="G3" s="78"/>
      <c r="H3" s="78"/>
      <c r="I3" s="78"/>
      <c r="J3" s="78"/>
    </row>
    <row r="5" spans="1:10" ht="30.75" customHeight="1">
      <c r="A5" s="78" t="s">
        <v>13</v>
      </c>
      <c r="B5" s="78"/>
      <c r="C5" s="78"/>
      <c r="D5" s="78"/>
      <c r="E5" s="78"/>
      <c r="F5" s="78"/>
      <c r="G5" s="78"/>
      <c r="H5" s="78"/>
      <c r="I5" s="78"/>
      <c r="J5" s="78"/>
    </row>
    <row r="7" spans="1:10">
      <c r="A7" s="3" t="s">
        <v>20</v>
      </c>
    </row>
    <row r="9" spans="1:10" ht="21">
      <c r="A9" s="4" t="s">
        <v>36</v>
      </c>
    </row>
    <row r="10" spans="1:10">
      <c r="A10" s="3" t="s">
        <v>35</v>
      </c>
    </row>
    <row r="11" spans="1:10">
      <c r="A11" s="3" t="s">
        <v>22</v>
      </c>
    </row>
    <row r="12" spans="1:10">
      <c r="A12" s="3" t="s">
        <v>21</v>
      </c>
    </row>
    <row r="14" spans="1:10" ht="21">
      <c r="A14" s="4" t="s">
        <v>37</v>
      </c>
    </row>
    <row r="15" spans="1:10">
      <c r="A15" s="3" t="s">
        <v>38</v>
      </c>
    </row>
    <row r="16" spans="1:10">
      <c r="A16" s="3" t="s">
        <v>22</v>
      </c>
    </row>
    <row r="17" spans="1:1">
      <c r="A17" s="3" t="s">
        <v>21</v>
      </c>
    </row>
    <row r="19" spans="1:1" ht="21">
      <c r="A19" s="4" t="s">
        <v>45</v>
      </c>
    </row>
    <row r="20" spans="1:1">
      <c r="A20" s="3" t="s">
        <v>46</v>
      </c>
    </row>
  </sheetData>
  <mergeCells count="2">
    <mergeCell ref="A3:J3"/>
    <mergeCell ref="A5:J5"/>
  </mergeCells>
  <phoneticPr fontId="1" type="noConversion"/>
  <pageMargins left="0.75" right="0.75" top="1" bottom="1" header="0.5" footer="0.5"/>
  <pageSetup orientation="portrait" r:id="rId1"/>
  <headerFooter alignWithMargins="0"/>
</worksheet>
</file>

<file path=xl/worksheets/sheet2.xml><?xml version="1.0" encoding="utf-8"?>
<worksheet xmlns="http://schemas.openxmlformats.org/spreadsheetml/2006/main" xmlns:r="http://schemas.openxmlformats.org/officeDocument/2006/relationships">
  <sheetPr codeName="Sheet5"/>
  <dimension ref="A1:K20"/>
  <sheetViews>
    <sheetView showGridLines="0" zoomScale="120" zoomScaleNormal="120" workbookViewId="0">
      <selection activeCell="A3" sqref="A3"/>
    </sheetView>
  </sheetViews>
  <sheetFormatPr defaultRowHeight="12.75"/>
  <cols>
    <col min="2" max="2" width="32.85546875" style="2" customWidth="1"/>
    <col min="3" max="3" width="16" customWidth="1"/>
    <col min="4" max="4" width="17.42578125" customWidth="1"/>
  </cols>
  <sheetData>
    <row r="1" spans="1:11" ht="30">
      <c r="A1" s="80" t="s">
        <v>19</v>
      </c>
      <c r="B1" s="80"/>
      <c r="C1" s="80"/>
    </row>
    <row r="2" spans="1:11" ht="18">
      <c r="A2" s="81" t="s">
        <v>42</v>
      </c>
      <c r="B2" s="81"/>
      <c r="C2" s="81"/>
    </row>
    <row r="3" spans="1:11">
      <c r="A3" s="6"/>
    </row>
    <row r="4" spans="1:11" ht="18">
      <c r="B4" s="79" t="s">
        <v>17</v>
      </c>
      <c r="C4" s="79"/>
    </row>
    <row r="5" spans="1:11">
      <c r="B5" s="29" t="s">
        <v>41</v>
      </c>
      <c r="C5" s="12">
        <v>20</v>
      </c>
      <c r="D5" s="7" t="s">
        <v>29</v>
      </c>
      <c r="E5" s="7"/>
      <c r="F5" s="7"/>
      <c r="G5" s="7"/>
      <c r="H5" s="7"/>
      <c r="I5" s="7"/>
      <c r="J5" s="7"/>
      <c r="K5" s="7"/>
    </row>
    <row r="6" spans="1:11">
      <c r="B6" s="11" t="s">
        <v>15</v>
      </c>
      <c r="C6" s="13">
        <v>22</v>
      </c>
      <c r="D6" s="7" t="s">
        <v>30</v>
      </c>
      <c r="E6" s="7"/>
      <c r="F6" s="7"/>
      <c r="G6" s="7"/>
      <c r="H6" s="7"/>
      <c r="I6" s="7"/>
      <c r="J6" s="7"/>
      <c r="K6" s="7"/>
    </row>
    <row r="7" spans="1:11">
      <c r="B7" s="9" t="s">
        <v>1</v>
      </c>
      <c r="C7" s="14">
        <f ca="1">TODAY()</f>
        <v>43629</v>
      </c>
      <c r="D7" s="5"/>
      <c r="E7" s="7"/>
      <c r="F7" s="7"/>
      <c r="G7" s="7"/>
      <c r="H7" s="7"/>
      <c r="I7" s="7"/>
      <c r="J7" s="7"/>
      <c r="K7" s="7"/>
    </row>
    <row r="8" spans="1:11">
      <c r="B8" s="23" t="s">
        <v>16</v>
      </c>
      <c r="C8" s="25">
        <v>41839</v>
      </c>
      <c r="D8" s="23" t="s">
        <v>31</v>
      </c>
      <c r="E8" s="24"/>
      <c r="F8" s="24"/>
      <c r="G8" s="24"/>
      <c r="H8" s="24"/>
      <c r="I8" s="24"/>
      <c r="J8" s="24"/>
      <c r="K8" s="24"/>
    </row>
    <row r="9" spans="1:11">
      <c r="B9" s="11" t="s">
        <v>6</v>
      </c>
      <c r="C9" s="27">
        <v>0.2</v>
      </c>
      <c r="D9" s="23" t="s">
        <v>32</v>
      </c>
      <c r="E9" s="26"/>
      <c r="F9" s="26"/>
      <c r="G9" s="26"/>
      <c r="H9" s="26"/>
      <c r="I9" s="26"/>
      <c r="J9" s="26"/>
      <c r="K9" s="26"/>
    </row>
    <row r="10" spans="1:11">
      <c r="B10" s="9" t="s">
        <v>0</v>
      </c>
      <c r="C10" s="15">
        <v>0.01</v>
      </c>
      <c r="D10" s="7" t="s">
        <v>33</v>
      </c>
      <c r="E10" s="7"/>
      <c r="F10" s="7"/>
      <c r="G10" s="7"/>
      <c r="H10" s="7"/>
      <c r="I10" s="7"/>
      <c r="J10" s="7"/>
      <c r="K10" s="7"/>
    </row>
    <row r="11" spans="1:11">
      <c r="B11" s="10" t="s">
        <v>11</v>
      </c>
      <c r="C11" s="16">
        <v>0</v>
      </c>
      <c r="D11" s="7" t="s">
        <v>34</v>
      </c>
      <c r="E11" s="7"/>
      <c r="F11" s="7"/>
      <c r="G11" s="7"/>
      <c r="H11" s="7"/>
      <c r="I11" s="7"/>
      <c r="J11" s="7"/>
      <c r="K11" s="7"/>
    </row>
    <row r="12" spans="1:11">
      <c r="B12" s="18" t="s">
        <v>9</v>
      </c>
      <c r="C12" s="19">
        <f ca="1">(C8-C7)/365</f>
        <v>-4.904109589041096</v>
      </c>
      <c r="D12" s="1"/>
    </row>
    <row r="13" spans="1:11" ht="18">
      <c r="B13" s="79" t="s">
        <v>18</v>
      </c>
      <c r="C13" s="79"/>
      <c r="D13" s="79"/>
    </row>
    <row r="14" spans="1:11">
      <c r="B14" s="20"/>
      <c r="C14" s="21" t="s">
        <v>7</v>
      </c>
      <c r="D14" s="22" t="s">
        <v>8</v>
      </c>
    </row>
    <row r="15" spans="1:11">
      <c r="B15" s="11" t="s">
        <v>23</v>
      </c>
      <c r="C15" s="17" t="e">
        <f ca="1">CallOption(C5,C6,((C8-C7)/365),C10,C9,C11)</f>
        <v>#VALUE!</v>
      </c>
      <c r="D15" s="17" t="e">
        <f ca="1">PutOption(C5,C6,((C8-C7)/365),C10,C9,C11)</f>
        <v>#VALUE!</v>
      </c>
      <c r="F15" s="1"/>
      <c r="G15" s="1"/>
    </row>
    <row r="16" spans="1:11">
      <c r="B16" s="9" t="s">
        <v>2</v>
      </c>
      <c r="C16" s="17" t="e">
        <f ca="1">CallDelta(C5,C6,((C8-C7)/365),C10,C9,C11)</f>
        <v>#VALUE!</v>
      </c>
      <c r="D16" s="17" t="e">
        <f ca="1">Putdelta(C5,C6,((C8-C7)/365),C10,C9,C11)</f>
        <v>#VALUE!</v>
      </c>
      <c r="E16" s="7" t="s">
        <v>24</v>
      </c>
    </row>
    <row r="17" spans="2:5">
      <c r="B17" s="9" t="s">
        <v>3</v>
      </c>
      <c r="C17" s="17" t="e">
        <f ca="1">Gamma1(C5,C6,((C8-C7)/365),C10,C9,C11)</f>
        <v>#VALUE!</v>
      </c>
      <c r="D17" s="17" t="e">
        <f ca="1">Gamma1(C5,C6,((C8-C7)/365),C10,C9,C11)</f>
        <v>#VALUE!</v>
      </c>
      <c r="E17" s="7" t="s">
        <v>25</v>
      </c>
    </row>
    <row r="18" spans="2:5">
      <c r="B18" s="9" t="s">
        <v>5</v>
      </c>
      <c r="C18" s="17" t="e">
        <f ca="1">CallTheta(C5,C6,((C8-C7)/365),C10,C9,C11)</f>
        <v>#VALUE!</v>
      </c>
      <c r="D18" s="17" t="e">
        <f ca="1">PutTheta(C5,C6,((C8-C7)/365),C10,C9,C11)</f>
        <v>#VALUE!</v>
      </c>
      <c r="E18" s="7" t="s">
        <v>26</v>
      </c>
    </row>
    <row r="19" spans="2:5">
      <c r="B19" s="9" t="s">
        <v>4</v>
      </c>
      <c r="C19" s="17" t="e">
        <f ca="1">vega(C5,C6,((C8-C7)/365),C10,C9,C11)</f>
        <v>#VALUE!</v>
      </c>
      <c r="D19" s="17" t="e">
        <f ca="1">vega(C5,C6,((C8-C7)/365),C10,C9,C11)</f>
        <v>#VALUE!</v>
      </c>
      <c r="E19" s="7" t="s">
        <v>27</v>
      </c>
    </row>
    <row r="20" spans="2:5">
      <c r="B20" s="10" t="s">
        <v>10</v>
      </c>
      <c r="C20" s="17" t="e">
        <f ca="1">CallRho(C5,C6,((C8-C7)/365),C10,C9,C11)</f>
        <v>#VALUE!</v>
      </c>
      <c r="D20" s="17" t="e">
        <f ca="1">PutRho(C5,C6,((C8-C7)/365),C10,C9,C11)</f>
        <v>#VALUE!</v>
      </c>
      <c r="E20" s="7" t="s">
        <v>28</v>
      </c>
    </row>
  </sheetData>
  <sheetProtection selectLockedCells="1" selectUnlockedCells="1"/>
  <mergeCells count="4">
    <mergeCell ref="B4:C4"/>
    <mergeCell ref="B13:D13"/>
    <mergeCell ref="A1:C1"/>
    <mergeCell ref="A2:C2"/>
  </mergeCells>
  <phoneticPr fontId="1" type="noConversion"/>
  <pageMargins left="0.75" right="0.75" top="1" bottom="1" header="0.5" footer="0.5"/>
  <pageSetup paperSize="9" orientation="portrait" r:id="rId1"/>
  <headerFooter alignWithMargins="0"/>
</worksheet>
</file>

<file path=xl/worksheets/sheet3.xml><?xml version="1.0" encoding="utf-8"?>
<worksheet xmlns="http://schemas.openxmlformats.org/spreadsheetml/2006/main" xmlns:r="http://schemas.openxmlformats.org/officeDocument/2006/relationships">
  <sheetPr codeName="Sheet7"/>
  <dimension ref="B1:J18"/>
  <sheetViews>
    <sheetView showGridLines="0" zoomScale="120" zoomScaleNormal="120" workbookViewId="0">
      <selection activeCell="C4" sqref="C4"/>
    </sheetView>
  </sheetViews>
  <sheetFormatPr defaultRowHeight="12.75"/>
  <cols>
    <col min="2" max="2" width="32.85546875" style="2" customWidth="1"/>
    <col min="3" max="3" width="16" customWidth="1"/>
  </cols>
  <sheetData>
    <row r="1" spans="2:10" ht="18">
      <c r="B1" s="79" t="s">
        <v>17</v>
      </c>
      <c r="C1" s="79"/>
    </row>
    <row r="2" spans="2:10">
      <c r="B2" s="29" t="s">
        <v>41</v>
      </c>
      <c r="C2" s="12">
        <v>28912</v>
      </c>
      <c r="D2" s="7"/>
      <c r="E2" s="7"/>
      <c r="F2" s="7"/>
      <c r="G2" s="7"/>
      <c r="H2" s="7"/>
      <c r="I2" s="7"/>
      <c r="J2" s="7"/>
    </row>
    <row r="3" spans="2:10">
      <c r="B3" s="11" t="s">
        <v>15</v>
      </c>
      <c r="C3" s="13">
        <v>28900</v>
      </c>
      <c r="D3" s="7"/>
      <c r="E3" s="7"/>
      <c r="F3" s="7"/>
      <c r="G3" s="7"/>
      <c r="H3" s="7"/>
      <c r="I3" s="7"/>
      <c r="J3" s="7"/>
    </row>
    <row r="4" spans="2:10">
      <c r="B4" s="11" t="s">
        <v>43</v>
      </c>
      <c r="C4" s="30" t="s">
        <v>44</v>
      </c>
      <c r="D4" s="7"/>
      <c r="E4" s="7"/>
      <c r="F4" s="7"/>
      <c r="G4" s="7"/>
      <c r="H4" s="7"/>
      <c r="I4" s="7"/>
      <c r="J4" s="7"/>
    </row>
    <row r="5" spans="2:10">
      <c r="B5" s="11" t="s">
        <v>39</v>
      </c>
      <c r="C5" s="28">
        <v>238</v>
      </c>
      <c r="D5" s="7"/>
      <c r="E5" s="7"/>
      <c r="F5" s="7"/>
      <c r="G5" s="7"/>
      <c r="H5" s="7"/>
      <c r="I5" s="7"/>
      <c r="J5" s="7"/>
    </row>
    <row r="6" spans="2:10">
      <c r="B6" s="9" t="s">
        <v>1</v>
      </c>
      <c r="C6" s="14">
        <v>43538</v>
      </c>
      <c r="D6" s="7"/>
      <c r="E6" s="7"/>
      <c r="F6" s="7"/>
      <c r="G6" s="7"/>
      <c r="H6" s="7"/>
      <c r="I6" s="7"/>
      <c r="J6" s="7"/>
    </row>
    <row r="7" spans="2:10">
      <c r="B7" s="23" t="s">
        <v>16</v>
      </c>
      <c r="C7" s="25">
        <v>43544</v>
      </c>
      <c r="D7" s="24"/>
      <c r="E7" s="24"/>
      <c r="F7" s="24"/>
      <c r="G7" s="24"/>
      <c r="H7" s="24"/>
      <c r="I7" s="24"/>
      <c r="J7" s="24"/>
    </row>
    <row r="8" spans="2:10">
      <c r="B8" s="9" t="s">
        <v>0</v>
      </c>
      <c r="C8" s="15">
        <v>0.1</v>
      </c>
      <c r="D8" s="7"/>
      <c r="E8" s="7"/>
      <c r="F8" s="7"/>
      <c r="G8" s="7"/>
      <c r="H8" s="7"/>
      <c r="I8" s="7"/>
      <c r="J8" s="7"/>
    </row>
    <row r="9" spans="2:10">
      <c r="B9" s="10" t="s">
        <v>11</v>
      </c>
      <c r="C9" s="16">
        <v>0</v>
      </c>
      <c r="D9" s="7"/>
      <c r="E9" s="7"/>
      <c r="F9" s="7"/>
      <c r="G9" s="7"/>
      <c r="H9" s="7"/>
      <c r="I9" s="7"/>
      <c r="J9" s="7"/>
    </row>
    <row r="10" spans="2:10">
      <c r="B10" s="18" t="s">
        <v>9</v>
      </c>
      <c r="C10" s="19">
        <f>(C7-C6)/365</f>
        <v>1.643835616438356E-2</v>
      </c>
    </row>
    <row r="11" spans="2:10" ht="18">
      <c r="B11" s="79" t="s">
        <v>18</v>
      </c>
      <c r="C11" s="79"/>
    </row>
    <row r="12" spans="2:10">
      <c r="B12" s="20"/>
      <c r="C12" s="21" t="str">
        <f>IF(C4="C","Call Option",IF(C4="P","Put Option","Option Type?"))</f>
        <v>Put Option</v>
      </c>
    </row>
    <row r="13" spans="2:10">
      <c r="B13" s="11" t="s">
        <v>40</v>
      </c>
      <c r="C13" s="31">
        <f>IF(C4="C",ImpliedCallVolatility(C2,C3,((C7-C6)/365),C8,C5,C9),IF(C4="P",ImpliedPutVolatility(C2,C3,((C7-C6)/365),C8,C5,C9),"Option Type?"))</f>
        <v>0.18054962158203125</v>
      </c>
      <c r="D13" s="1"/>
      <c r="E13" s="1"/>
    </row>
    <row r="14" spans="2:10">
      <c r="B14" s="9" t="s">
        <v>2</v>
      </c>
      <c r="C14" s="17">
        <f>IF(C4="C",CallDelta(C2,C3,((C7-C6)/365),C8,C13,C9),IF(C4="P",Putdelta(C2,C3,((C7-C6)/365),C8,C13,C9),"Option Type?"))</f>
        <v>-0.45996572521022139</v>
      </c>
    </row>
    <row r="15" spans="2:10">
      <c r="B15" s="9" t="s">
        <v>3</v>
      </c>
      <c r="C15" s="17">
        <f>IF(C4="C",Gamma1(C2,C3,((C7-C6)/365),C8,C13,C9),IF(C4="P",Gamma1(C2,C3,((C7-C6)/365),C8,C13,C9),"Option Type?"))</f>
        <v>5.9307830495209247E-4</v>
      </c>
    </row>
    <row r="16" spans="2:10">
      <c r="B16" s="9" t="s">
        <v>5</v>
      </c>
      <c r="C16" s="17">
        <f>IF(C4="C",CallTheta(C2,C3,((C7-C6)/365),C8,C13,C9),IF(C4="P",PutTheta(C2,C3,((C7-C6)/365),C8,C13,C9),"Option Type?"))</f>
        <v>-18.429362245610708</v>
      </c>
    </row>
    <row r="17" spans="2:3">
      <c r="B17" s="9" t="s">
        <v>4</v>
      </c>
      <c r="C17" s="17">
        <f>IF(C4="C",vega(C2,C3,((C7-C6)/365),C8,C13,C9),IF(C4="P",vega(C2,C3,((C7-C6)/365),C8,C13,C9),"Option Type?"))</f>
        <v>14.713746741450313</v>
      </c>
    </row>
    <row r="18" spans="2:3">
      <c r="B18" s="10" t="s">
        <v>10</v>
      </c>
      <c r="C18" s="17">
        <f>IF(C4="C",CallRho(C2,C3,((C7-C6)/365),C8,C13,C9),IF(C4="P",PutRho(C2,C3,((C7-C6)/365),C8,C13,C9),"Option Type?"))</f>
        <v>-2.2251896837470722</v>
      </c>
    </row>
  </sheetData>
  <sheetProtection selectLockedCells="1" selectUnlockedCells="1"/>
  <mergeCells count="2">
    <mergeCell ref="B1:C1"/>
    <mergeCell ref="B11:C11"/>
  </mergeCells>
  <pageMargins left="0.75" right="0.75" top="1" bottom="1" header="0.5" footer="0.5"/>
  <pageSetup paperSize="9" orientation="portrait" r:id="rId1"/>
  <headerFooter alignWithMargins="0"/>
</worksheet>
</file>

<file path=xl/worksheets/sheet4.xml><?xml version="1.0" encoding="utf-8"?>
<worksheet xmlns="http://schemas.openxmlformats.org/spreadsheetml/2006/main" xmlns:r="http://schemas.openxmlformats.org/officeDocument/2006/relationships">
  <sheetPr codeName="Sheet1"/>
  <dimension ref="A1:AN314"/>
  <sheetViews>
    <sheetView workbookViewId="0">
      <pane xSplit="5" ySplit="2" topLeftCell="F286" activePane="bottomRight" state="frozen"/>
      <selection pane="topRight" activeCell="F1" sqref="F1"/>
      <selection pane="bottomLeft" activeCell="A3" sqref="A3"/>
      <selection pane="bottomRight" activeCell="A305" sqref="A305:P307"/>
    </sheetView>
  </sheetViews>
  <sheetFormatPr defaultRowHeight="12.75"/>
  <cols>
    <col min="1" max="1" width="8.85546875" customWidth="1"/>
    <col min="2" max="4" width="8.85546875" style="62" customWidth="1"/>
    <col min="5" max="5" width="10.42578125" customWidth="1"/>
    <col min="6" max="6" width="10.5703125" customWidth="1"/>
    <col min="7" max="7" width="9.140625" customWidth="1"/>
    <col min="8" max="9" width="10.5703125" customWidth="1"/>
    <col min="10" max="10" width="11.5703125" customWidth="1"/>
    <col min="11" max="11" width="6.28515625" customWidth="1"/>
    <col min="12" max="12" width="5.5703125" customWidth="1"/>
    <col min="13" max="13" width="8.140625" customWidth="1"/>
    <col min="14" max="14" width="11.42578125" style="33" customWidth="1"/>
    <col min="15" max="16" width="10.42578125" style="75" customWidth="1"/>
    <col min="17" max="17" width="10.42578125" customWidth="1"/>
    <col min="18" max="18" width="9.140625" customWidth="1"/>
    <col min="19" max="19" width="12.140625" customWidth="1"/>
    <col min="20" max="20" width="9.28515625" bestFit="1" customWidth="1"/>
  </cols>
  <sheetData>
    <row r="1" spans="1:39" ht="13.5" thickBot="1">
      <c r="F1" s="82" t="s">
        <v>47</v>
      </c>
      <c r="G1" s="83"/>
      <c r="H1" s="83"/>
      <c r="I1" s="83"/>
      <c r="J1" s="83"/>
      <c r="K1" s="83"/>
      <c r="L1" s="83"/>
      <c r="M1" s="83"/>
      <c r="N1" s="83"/>
      <c r="AB1" t="s">
        <v>102</v>
      </c>
      <c r="AF1" s="7"/>
    </row>
    <row r="2" spans="1:39" s="65" customFormat="1" ht="13.5" thickBot="1">
      <c r="A2" s="65" t="s">
        <v>48</v>
      </c>
      <c r="B2" s="66" t="s">
        <v>61</v>
      </c>
      <c r="C2" s="66" t="s">
        <v>60</v>
      </c>
      <c r="D2" s="66" t="s">
        <v>59</v>
      </c>
      <c r="E2" s="67" t="s">
        <v>65</v>
      </c>
      <c r="F2" s="65" t="s">
        <v>49</v>
      </c>
      <c r="G2" s="65" t="s">
        <v>50</v>
      </c>
      <c r="H2" s="65" t="s">
        <v>51</v>
      </c>
      <c r="I2" s="68" t="s">
        <v>52</v>
      </c>
      <c r="J2" s="69" t="s">
        <v>53</v>
      </c>
      <c r="K2" s="69"/>
      <c r="L2" s="69" t="s">
        <v>54</v>
      </c>
      <c r="M2" s="69" t="s">
        <v>55</v>
      </c>
      <c r="N2" s="70" t="s">
        <v>56</v>
      </c>
      <c r="O2" s="76" t="s">
        <v>62</v>
      </c>
      <c r="P2" s="76" t="s">
        <v>63</v>
      </c>
      <c r="Q2" s="71" t="s">
        <v>64</v>
      </c>
      <c r="R2" s="65" t="s">
        <v>105</v>
      </c>
      <c r="S2" s="65" t="s">
        <v>106</v>
      </c>
      <c r="T2" s="65" t="s">
        <v>107</v>
      </c>
      <c r="V2" s="65" t="s">
        <v>108</v>
      </c>
      <c r="AB2" s="65" t="s">
        <v>103</v>
      </c>
      <c r="AC2" s="65" t="s">
        <v>104</v>
      </c>
      <c r="AI2" s="65" t="s">
        <v>86</v>
      </c>
      <c r="AJ2" s="65" t="s">
        <v>85</v>
      </c>
      <c r="AL2" s="65" t="s">
        <v>80</v>
      </c>
      <c r="AM2" s="65" t="s">
        <v>87</v>
      </c>
    </row>
    <row r="3" spans="1:39">
      <c r="B3" s="63">
        <v>0.1</v>
      </c>
      <c r="C3" s="63">
        <v>0</v>
      </c>
      <c r="D3" s="64">
        <v>5</v>
      </c>
      <c r="E3" s="34">
        <v>43105</v>
      </c>
      <c r="F3">
        <v>25560</v>
      </c>
      <c r="G3">
        <v>25600</v>
      </c>
      <c r="H3">
        <v>25600</v>
      </c>
      <c r="I3">
        <v>105</v>
      </c>
      <c r="J3">
        <v>163</v>
      </c>
      <c r="L3">
        <v>116</v>
      </c>
      <c r="M3">
        <v>130</v>
      </c>
      <c r="N3" s="35">
        <f t="shared" ref="N3:N66" si="0">(I3+J3)-(L3+M3)</f>
        <v>22</v>
      </c>
      <c r="O3" s="77">
        <f>ImpliedCallVolatility(F3,G3,((D3)/365),B3,I3,C3)</f>
        <v>9.006500244140625E-2</v>
      </c>
      <c r="P3" s="77">
        <f>ImpliedPutVolatility(F3,H3,((D3)/365),B3,J3,C3)</f>
        <v>0.13446807861328125</v>
      </c>
      <c r="Q3" t="str">
        <f>IF(P3&gt;O3,"Buy","Sell")</f>
        <v>Buy</v>
      </c>
      <c r="R3">
        <f>(I3+J3)*0.7</f>
        <v>187.6</v>
      </c>
      <c r="S3">
        <f>F3+R3</f>
        <v>25747.599999999999</v>
      </c>
      <c r="T3">
        <f>F3-R3</f>
        <v>25372.400000000001</v>
      </c>
      <c r="U3" s="36">
        <v>0.63541666666666663</v>
      </c>
      <c r="V3">
        <v>25595</v>
      </c>
      <c r="Y3" s="73"/>
      <c r="AB3">
        <v>25560</v>
      </c>
      <c r="AC3">
        <v>25594</v>
      </c>
      <c r="AE3">
        <f>AC3-AB3</f>
        <v>34</v>
      </c>
      <c r="AF3">
        <f>AF2+AE3</f>
        <v>34</v>
      </c>
      <c r="AI3">
        <f>N3*2000</f>
        <v>44000</v>
      </c>
      <c r="AJ3">
        <f>AE3*200</f>
        <v>6800</v>
      </c>
      <c r="AL3">
        <f>AI3+AJ3</f>
        <v>50800</v>
      </c>
      <c r="AM3">
        <f>AL3</f>
        <v>50800</v>
      </c>
    </row>
    <row r="4" spans="1:39">
      <c r="B4" s="63">
        <v>0.1</v>
      </c>
      <c r="C4" s="63">
        <v>0</v>
      </c>
      <c r="D4" s="64">
        <v>4</v>
      </c>
      <c r="E4" s="37">
        <v>43108</v>
      </c>
      <c r="F4">
        <v>25713</v>
      </c>
      <c r="G4">
        <v>25700</v>
      </c>
      <c r="H4">
        <v>25700</v>
      </c>
      <c r="I4">
        <v>110</v>
      </c>
      <c r="J4">
        <v>112</v>
      </c>
      <c r="L4">
        <v>104</v>
      </c>
      <c r="M4">
        <v>105</v>
      </c>
      <c r="N4" s="35">
        <f t="shared" si="0"/>
        <v>13</v>
      </c>
      <c r="O4" s="77">
        <f>ImpliedCallVolatility(F4,G4,((D4)/365),B4,I4,C4)</f>
        <v>8.190155029296875E-2</v>
      </c>
      <c r="P4" s="77">
        <f>ImpliedPutVolatility(F4,H4,((D4)/365),B4,J4,C4)</f>
        <v>0.12256622314453125</v>
      </c>
      <c r="Q4" t="str">
        <f t="shared" ref="Q4:Q67" si="1">IF(P4&gt;O4,"Buy","Sell")</f>
        <v>Buy</v>
      </c>
      <c r="R4">
        <f t="shared" ref="R4:R67" si="2">(I4+J4)*0.7</f>
        <v>155.39999999999998</v>
      </c>
      <c r="S4">
        <f t="shared" ref="S4:S67" si="3">F4+R4</f>
        <v>25868.400000000001</v>
      </c>
      <c r="T4">
        <f t="shared" ref="T4:T67" si="4">F4-R4</f>
        <v>25557.599999999999</v>
      </c>
      <c r="U4" s="36">
        <v>0.63541666666666663</v>
      </c>
      <c r="V4">
        <v>25675</v>
      </c>
      <c r="AB4">
        <v>25712</v>
      </c>
      <c r="AC4">
        <v>25675</v>
      </c>
      <c r="AE4">
        <f t="shared" ref="AE4:AE39" si="5">AC4-AB4</f>
        <v>-37</v>
      </c>
      <c r="AF4">
        <f t="shared" ref="AF4:AF67" si="6">AF3+AE4</f>
        <v>-3</v>
      </c>
      <c r="AI4">
        <f t="shared" ref="AI4:AI20" si="7">N4*2000</f>
        <v>26000</v>
      </c>
      <c r="AJ4">
        <f t="shared" ref="AJ4:AJ20" si="8">AE4*200</f>
        <v>-7400</v>
      </c>
      <c r="AL4">
        <f t="shared" ref="AL4:AL20" si="9">AI4+AJ4</f>
        <v>18600</v>
      </c>
      <c r="AM4">
        <f>AL4+AM3</f>
        <v>69400</v>
      </c>
    </row>
    <row r="5" spans="1:39">
      <c r="B5" s="63">
        <v>0.1</v>
      </c>
      <c r="C5" s="63">
        <v>0</v>
      </c>
      <c r="D5" s="64">
        <v>3</v>
      </c>
      <c r="E5" s="37">
        <v>43109</v>
      </c>
      <c r="F5">
        <v>25673</v>
      </c>
      <c r="G5">
        <v>25700</v>
      </c>
      <c r="H5">
        <v>25700</v>
      </c>
      <c r="I5">
        <v>71</v>
      </c>
      <c r="J5">
        <v>119</v>
      </c>
      <c r="L5">
        <v>77</v>
      </c>
      <c r="M5">
        <v>91</v>
      </c>
      <c r="N5" s="35">
        <f t="shared" si="0"/>
        <v>22</v>
      </c>
      <c r="O5" s="77">
        <f>ImpliedCallVolatility(F5,G5,((D5)/365),B5,I5,C5)</f>
        <v>7.961273193359375E-2</v>
      </c>
      <c r="P5" s="77">
        <f>ImpliedPutVolatility(F5,H5,((D5)/365),B5,J5,C5)</f>
        <v>0.12493133544921875</v>
      </c>
      <c r="Q5" t="str">
        <f t="shared" si="1"/>
        <v>Buy</v>
      </c>
      <c r="R5">
        <f t="shared" si="2"/>
        <v>133</v>
      </c>
      <c r="S5">
        <f t="shared" si="3"/>
        <v>25806</v>
      </c>
      <c r="T5">
        <f t="shared" si="4"/>
        <v>25540</v>
      </c>
      <c r="U5" s="36">
        <v>0.63541666666666663</v>
      </c>
      <c r="V5">
        <v>25698</v>
      </c>
      <c r="AB5">
        <v>25673</v>
      </c>
      <c r="AC5">
        <v>25636</v>
      </c>
      <c r="AE5">
        <f t="shared" si="5"/>
        <v>-37</v>
      </c>
      <c r="AF5">
        <f t="shared" si="6"/>
        <v>-40</v>
      </c>
      <c r="AI5">
        <f t="shared" si="7"/>
        <v>44000</v>
      </c>
      <c r="AJ5">
        <f t="shared" si="8"/>
        <v>-7400</v>
      </c>
      <c r="AL5">
        <f t="shared" si="9"/>
        <v>36600</v>
      </c>
      <c r="AM5">
        <f t="shared" ref="AM5:AM20" si="10">AL5+AM4</f>
        <v>106000</v>
      </c>
    </row>
    <row r="6" spans="1:39">
      <c r="A6" t="s">
        <v>57</v>
      </c>
      <c r="B6" s="63">
        <v>0.1</v>
      </c>
      <c r="C6" s="63">
        <v>0</v>
      </c>
      <c r="D6" s="64">
        <v>2</v>
      </c>
      <c r="E6" s="37">
        <v>43110</v>
      </c>
      <c r="F6">
        <v>25670</v>
      </c>
      <c r="G6">
        <v>25700</v>
      </c>
      <c r="H6">
        <v>25700</v>
      </c>
      <c r="I6">
        <v>53</v>
      </c>
      <c r="J6">
        <v>107</v>
      </c>
      <c r="L6">
        <v>31</v>
      </c>
      <c r="M6">
        <v>136</v>
      </c>
      <c r="N6" s="35">
        <f t="shared" si="0"/>
        <v>-7</v>
      </c>
      <c r="O6" s="77">
        <f>ImpliedCallVolatility(F6,G6,((D6)/365),B6,I6,C6)</f>
        <v>7.991790771484375E-2</v>
      </c>
      <c r="P6" s="77">
        <f>ImpliedPutVolatility(F6,H6,((D6)/365),B6,J6,C6)</f>
        <v>0.13034820556640625</v>
      </c>
      <c r="Q6" t="str">
        <f t="shared" si="1"/>
        <v>Buy</v>
      </c>
      <c r="R6">
        <f t="shared" si="2"/>
        <v>112</v>
      </c>
      <c r="S6">
        <f t="shared" si="3"/>
        <v>25782</v>
      </c>
      <c r="T6">
        <f t="shared" si="4"/>
        <v>25558</v>
      </c>
      <c r="U6" s="36">
        <v>0.63541666666666663</v>
      </c>
      <c r="V6">
        <v>25619</v>
      </c>
      <c r="AB6">
        <v>25669</v>
      </c>
      <c r="AC6">
        <v>25636</v>
      </c>
      <c r="AE6">
        <f t="shared" si="5"/>
        <v>-33</v>
      </c>
      <c r="AF6">
        <f t="shared" si="6"/>
        <v>-73</v>
      </c>
      <c r="AI6">
        <f t="shared" si="7"/>
        <v>-14000</v>
      </c>
      <c r="AJ6">
        <f t="shared" si="8"/>
        <v>-6600</v>
      </c>
      <c r="AL6">
        <f t="shared" si="9"/>
        <v>-20600</v>
      </c>
      <c r="AM6">
        <f t="shared" si="10"/>
        <v>85400</v>
      </c>
    </row>
    <row r="7" spans="1:39" ht="13.5" thickBot="1">
      <c r="A7" t="s">
        <v>58</v>
      </c>
      <c r="B7" s="63">
        <v>0.1</v>
      </c>
      <c r="C7" s="63">
        <v>0</v>
      </c>
      <c r="D7" s="64">
        <v>1</v>
      </c>
      <c r="E7" s="38">
        <v>43111</v>
      </c>
      <c r="F7">
        <v>25557</v>
      </c>
      <c r="G7">
        <v>25600</v>
      </c>
      <c r="H7">
        <v>25600</v>
      </c>
      <c r="I7">
        <v>28</v>
      </c>
      <c r="J7">
        <v>66</v>
      </c>
      <c r="L7">
        <v>23</v>
      </c>
      <c r="M7">
        <v>71</v>
      </c>
      <c r="N7" s="35">
        <f t="shared" si="0"/>
        <v>0</v>
      </c>
      <c r="O7" s="77">
        <f>ImpliedCallVolatility(F7,G7,((D7)/365),B7,I7,C7)</f>
        <v>8.174896240234375E-2</v>
      </c>
      <c r="P7" s="77">
        <f>ImpliedPutVolatility(F7,H7,((D7)/365),B7,J7,C7)</f>
        <v>8.571624755859375E-2</v>
      </c>
      <c r="Q7" t="str">
        <f t="shared" si="1"/>
        <v>Buy</v>
      </c>
      <c r="R7">
        <f t="shared" si="2"/>
        <v>65.8</v>
      </c>
      <c r="S7">
        <f t="shared" si="3"/>
        <v>25622.799999999999</v>
      </c>
      <c r="T7">
        <f t="shared" si="4"/>
        <v>25491.200000000001</v>
      </c>
      <c r="U7" s="36">
        <v>0.63541666666666663</v>
      </c>
      <c r="V7">
        <v>25655</v>
      </c>
      <c r="AB7">
        <v>25556</v>
      </c>
      <c r="AC7">
        <v>25655</v>
      </c>
      <c r="AE7">
        <f t="shared" si="5"/>
        <v>99</v>
      </c>
      <c r="AF7">
        <f t="shared" si="6"/>
        <v>26</v>
      </c>
      <c r="AI7">
        <f t="shared" si="7"/>
        <v>0</v>
      </c>
      <c r="AJ7">
        <f t="shared" si="8"/>
        <v>19800</v>
      </c>
      <c r="AL7">
        <f t="shared" si="9"/>
        <v>19800</v>
      </c>
      <c r="AM7">
        <f t="shared" si="10"/>
        <v>105200</v>
      </c>
    </row>
    <row r="8" spans="1:39">
      <c r="B8" s="63">
        <v>0.1</v>
      </c>
      <c r="C8" s="63">
        <v>0</v>
      </c>
      <c r="D8" s="64">
        <v>5</v>
      </c>
      <c r="E8" s="34">
        <v>43112</v>
      </c>
      <c r="F8">
        <v>25752</v>
      </c>
      <c r="G8">
        <v>25700</v>
      </c>
      <c r="H8">
        <v>25700</v>
      </c>
      <c r="I8">
        <v>129</v>
      </c>
      <c r="J8">
        <v>105</v>
      </c>
      <c r="L8">
        <v>130</v>
      </c>
      <c r="M8" s="39">
        <v>98.55</v>
      </c>
      <c r="N8" s="35">
        <f t="shared" si="0"/>
        <v>5.4499999999999886</v>
      </c>
      <c r="O8" s="77">
        <f>ImpliedCallVolatility(F8,G8,((D8)/365),B8,I8,C8)</f>
        <v>6.481170654296875E-2</v>
      </c>
      <c r="P8" s="77">
        <f>ImpliedPutVolatility(F8,H8,((D8)/365),B8,J8,C8)</f>
        <v>0.12027740478515625</v>
      </c>
      <c r="Q8" t="str">
        <f t="shared" si="1"/>
        <v>Buy</v>
      </c>
      <c r="R8">
        <f t="shared" si="2"/>
        <v>163.79999999999998</v>
      </c>
      <c r="S8">
        <f t="shared" si="3"/>
        <v>25915.8</v>
      </c>
      <c r="T8">
        <f t="shared" si="4"/>
        <v>25588.2</v>
      </c>
      <c r="U8" s="36">
        <v>0.63541666666666663</v>
      </c>
      <c r="V8">
        <v>25757</v>
      </c>
      <c r="AB8">
        <v>25751</v>
      </c>
      <c r="AC8">
        <v>25644</v>
      </c>
      <c r="AE8">
        <f t="shared" si="5"/>
        <v>-107</v>
      </c>
      <c r="AF8">
        <f t="shared" si="6"/>
        <v>-81</v>
      </c>
      <c r="AI8">
        <f t="shared" si="7"/>
        <v>10899.999999999978</v>
      </c>
      <c r="AJ8">
        <f t="shared" si="8"/>
        <v>-21400</v>
      </c>
      <c r="AL8">
        <f t="shared" si="9"/>
        <v>-10500.000000000022</v>
      </c>
      <c r="AM8">
        <f t="shared" si="10"/>
        <v>94699.999999999971</v>
      </c>
    </row>
    <row r="9" spans="1:39">
      <c r="B9" s="63">
        <v>0.1</v>
      </c>
      <c r="C9" s="63">
        <v>0</v>
      </c>
      <c r="D9" s="64">
        <v>4</v>
      </c>
      <c r="E9" s="37">
        <v>43115</v>
      </c>
      <c r="F9">
        <v>25897</v>
      </c>
      <c r="G9">
        <v>25900</v>
      </c>
      <c r="H9">
        <v>25900</v>
      </c>
      <c r="I9">
        <v>80</v>
      </c>
      <c r="J9">
        <v>128</v>
      </c>
      <c r="L9">
        <v>169</v>
      </c>
      <c r="M9">
        <v>88</v>
      </c>
      <c r="N9" s="35">
        <f t="shared" si="0"/>
        <v>-49</v>
      </c>
      <c r="O9" s="77">
        <f>ImpliedCallVolatility(F9,G9,((D9)/365),B9,I9,C9)</f>
        <v>6.153106689453125E-2</v>
      </c>
      <c r="P9" s="77">
        <f>ImpliedPutVolatility(F9,H9,((D9)/365),B9,J9,C9)</f>
        <v>0.12981414794921875</v>
      </c>
      <c r="Q9" t="str">
        <f t="shared" si="1"/>
        <v>Buy</v>
      </c>
      <c r="R9">
        <f t="shared" si="2"/>
        <v>145.6</v>
      </c>
      <c r="S9">
        <f t="shared" si="3"/>
        <v>26042.6</v>
      </c>
      <c r="T9">
        <f t="shared" si="4"/>
        <v>25751.4</v>
      </c>
      <c r="U9" s="36">
        <v>0.63541666666666663</v>
      </c>
      <c r="V9">
        <v>26090</v>
      </c>
      <c r="AB9">
        <v>25897</v>
      </c>
      <c r="AC9">
        <v>26061</v>
      </c>
      <c r="AE9">
        <f t="shared" si="5"/>
        <v>164</v>
      </c>
      <c r="AF9">
        <f t="shared" si="6"/>
        <v>83</v>
      </c>
      <c r="AI9">
        <f t="shared" si="7"/>
        <v>-98000</v>
      </c>
      <c r="AJ9">
        <f t="shared" si="8"/>
        <v>32800</v>
      </c>
      <c r="AL9">
        <f t="shared" si="9"/>
        <v>-65200</v>
      </c>
      <c r="AM9">
        <f t="shared" si="10"/>
        <v>29499.999999999971</v>
      </c>
    </row>
    <row r="10" spans="1:39">
      <c r="B10" s="63">
        <v>0.1</v>
      </c>
      <c r="C10" s="63">
        <v>0</v>
      </c>
      <c r="D10" s="64">
        <v>3</v>
      </c>
      <c r="E10" s="37">
        <v>43116</v>
      </c>
      <c r="F10">
        <v>26040</v>
      </c>
      <c r="G10">
        <v>26000</v>
      </c>
      <c r="H10">
        <v>26000</v>
      </c>
      <c r="I10">
        <v>108</v>
      </c>
      <c r="J10">
        <v>100</v>
      </c>
      <c r="L10">
        <v>71</v>
      </c>
      <c r="M10">
        <v>108</v>
      </c>
      <c r="N10" s="35">
        <f t="shared" si="0"/>
        <v>29</v>
      </c>
      <c r="O10" s="77">
        <f>ImpliedCallVolatility(F10,G10,((D10)/365),B10,I10,C10)</f>
        <v>7.785797119140625E-2</v>
      </c>
      <c r="P10" s="77">
        <f>ImpliedPutVolatility(F10,H10,((D10)/365),B10,J10,C10)</f>
        <v>0.13645172119140625</v>
      </c>
      <c r="Q10" t="str">
        <f t="shared" si="1"/>
        <v>Buy</v>
      </c>
      <c r="R10">
        <f t="shared" si="2"/>
        <v>145.6</v>
      </c>
      <c r="S10">
        <f t="shared" si="3"/>
        <v>26185.599999999999</v>
      </c>
      <c r="T10">
        <f t="shared" si="4"/>
        <v>25894.400000000001</v>
      </c>
      <c r="U10" s="36">
        <v>0.63541666666666663</v>
      </c>
      <c r="V10">
        <v>25978</v>
      </c>
      <c r="AB10">
        <v>26040</v>
      </c>
      <c r="AC10">
        <v>25964</v>
      </c>
      <c r="AE10">
        <f t="shared" si="5"/>
        <v>-76</v>
      </c>
      <c r="AF10">
        <f t="shared" si="6"/>
        <v>7</v>
      </c>
      <c r="AI10">
        <f t="shared" si="7"/>
        <v>58000</v>
      </c>
      <c r="AJ10">
        <f t="shared" si="8"/>
        <v>-15200</v>
      </c>
      <c r="AL10">
        <f t="shared" si="9"/>
        <v>42800</v>
      </c>
      <c r="AM10">
        <f t="shared" si="10"/>
        <v>72299.999999999971</v>
      </c>
    </row>
    <row r="11" spans="1:39" ht="13.5" thickBot="1">
      <c r="A11" t="s">
        <v>57</v>
      </c>
      <c r="B11" s="63">
        <v>0.1</v>
      </c>
      <c r="C11" s="63">
        <v>0</v>
      </c>
      <c r="D11" s="64">
        <v>2</v>
      </c>
      <c r="E11" s="37">
        <v>43117</v>
      </c>
      <c r="F11">
        <v>25984</v>
      </c>
      <c r="G11">
        <v>26000</v>
      </c>
      <c r="H11">
        <v>26000</v>
      </c>
      <c r="I11">
        <v>53</v>
      </c>
      <c r="J11">
        <v>109</v>
      </c>
      <c r="L11">
        <v>105</v>
      </c>
      <c r="M11">
        <v>43</v>
      </c>
      <c r="N11" s="35">
        <f t="shared" si="0"/>
        <v>14</v>
      </c>
      <c r="O11" s="77">
        <f>ImpliedCallVolatility(F11,G11,((D11)/365),B11,I11,C11)</f>
        <v>7.022857666015625E-2</v>
      </c>
      <c r="P11" s="77">
        <f>ImpliedPutVolatility(F11,H11,((D11)/365),B11,J11,C11)</f>
        <v>0.14087677001953125</v>
      </c>
      <c r="Q11" t="str">
        <f t="shared" si="1"/>
        <v>Buy</v>
      </c>
      <c r="R11">
        <f t="shared" si="2"/>
        <v>113.39999999999999</v>
      </c>
      <c r="S11">
        <f t="shared" si="3"/>
        <v>26097.4</v>
      </c>
      <c r="T11">
        <f t="shared" si="4"/>
        <v>25870.6</v>
      </c>
      <c r="U11" s="36">
        <v>0.61458333333333337</v>
      </c>
      <c r="V11">
        <v>26217</v>
      </c>
      <c r="AB11">
        <v>25983</v>
      </c>
      <c r="AC11">
        <v>26272</v>
      </c>
      <c r="AE11">
        <f t="shared" si="5"/>
        <v>289</v>
      </c>
      <c r="AF11">
        <f t="shared" si="6"/>
        <v>296</v>
      </c>
      <c r="AI11">
        <f t="shared" si="7"/>
        <v>28000</v>
      </c>
      <c r="AJ11">
        <f t="shared" si="8"/>
        <v>57800</v>
      </c>
      <c r="AL11">
        <f t="shared" si="9"/>
        <v>85800</v>
      </c>
      <c r="AM11">
        <f t="shared" si="10"/>
        <v>158099.99999999997</v>
      </c>
    </row>
    <row r="12" spans="1:39" ht="13.5" thickBot="1">
      <c r="A12" t="s">
        <v>58</v>
      </c>
      <c r="B12" s="63">
        <v>0.1</v>
      </c>
      <c r="C12" s="63">
        <v>0</v>
      </c>
      <c r="D12" s="64">
        <v>1</v>
      </c>
      <c r="E12" s="40">
        <v>43118</v>
      </c>
      <c r="F12">
        <v>26800</v>
      </c>
      <c r="G12">
        <v>26800</v>
      </c>
      <c r="H12">
        <v>26800</v>
      </c>
      <c r="I12">
        <v>49</v>
      </c>
      <c r="J12">
        <v>105</v>
      </c>
      <c r="L12" s="39">
        <v>9.8000000000000007</v>
      </c>
      <c r="M12" s="39">
        <v>106</v>
      </c>
      <c r="N12" s="35">
        <f t="shared" si="0"/>
        <v>38.200000000000003</v>
      </c>
      <c r="O12" s="77">
        <f>ImpliedCallVolatility(F12,G12,((D12)/365),B12,I12,C12)</f>
        <v>8.083343505859375E-2</v>
      </c>
      <c r="P12" s="77">
        <f>ImpliedPutVolatility(F12,H12,((D12)/365),B12,J12,C12)</f>
        <v>0.19412994384765625</v>
      </c>
      <c r="Q12" t="str">
        <f t="shared" si="1"/>
        <v>Buy</v>
      </c>
      <c r="R12">
        <f t="shared" si="2"/>
        <v>107.8</v>
      </c>
      <c r="S12">
        <f t="shared" si="3"/>
        <v>26907.8</v>
      </c>
      <c r="T12">
        <f t="shared" si="4"/>
        <v>26692.2</v>
      </c>
      <c r="U12" s="36">
        <v>0.61458333333333337</v>
      </c>
      <c r="V12">
        <v>26596</v>
      </c>
      <c r="AB12">
        <v>26799</v>
      </c>
      <c r="AC12">
        <v>26616</v>
      </c>
      <c r="AE12">
        <f t="shared" si="5"/>
        <v>-183</v>
      </c>
      <c r="AF12">
        <f t="shared" si="6"/>
        <v>113</v>
      </c>
      <c r="AI12">
        <f t="shared" si="7"/>
        <v>76400</v>
      </c>
      <c r="AJ12">
        <f t="shared" si="8"/>
        <v>-36600</v>
      </c>
      <c r="AL12">
        <f t="shared" si="9"/>
        <v>39800</v>
      </c>
      <c r="AM12">
        <f t="shared" si="10"/>
        <v>197899.99999999997</v>
      </c>
    </row>
    <row r="13" spans="1:39">
      <c r="A13" s="41"/>
      <c r="B13" s="63">
        <v>0.1</v>
      </c>
      <c r="C13" s="63">
        <v>0</v>
      </c>
      <c r="D13" s="64">
        <v>5</v>
      </c>
      <c r="E13" s="42">
        <v>43119</v>
      </c>
      <c r="F13" s="41">
        <v>26585</v>
      </c>
      <c r="G13" s="41">
        <v>26600</v>
      </c>
      <c r="H13" s="41">
        <v>26600</v>
      </c>
      <c r="I13" s="41">
        <v>133</v>
      </c>
      <c r="J13" s="41">
        <v>177</v>
      </c>
      <c r="K13" s="41"/>
      <c r="L13" s="41">
        <v>288</v>
      </c>
      <c r="M13" s="41">
        <v>102</v>
      </c>
      <c r="N13" s="43">
        <f t="shared" si="0"/>
        <v>-80</v>
      </c>
      <c r="O13" s="77">
        <f>ImpliedCallVolatility(F13,G13,((D13)/365),B13,I13,C13)</f>
        <v>9.830474853515625E-2</v>
      </c>
      <c r="P13" s="77">
        <f>ImpliedPutVolatility(F13,H13,((D13)/365),B13,J13,C13)</f>
        <v>0.15110015869140625</v>
      </c>
      <c r="Q13" t="str">
        <f t="shared" si="1"/>
        <v>Buy</v>
      </c>
      <c r="R13">
        <f t="shared" si="2"/>
        <v>217</v>
      </c>
      <c r="S13">
        <f t="shared" si="3"/>
        <v>26802</v>
      </c>
      <c r="T13">
        <f t="shared" si="4"/>
        <v>26368</v>
      </c>
      <c r="U13" s="36">
        <v>0.58333333333333337</v>
      </c>
      <c r="V13">
        <v>26746</v>
      </c>
      <c r="AB13">
        <v>26585</v>
      </c>
      <c r="AC13">
        <v>26926</v>
      </c>
      <c r="AE13">
        <f t="shared" si="5"/>
        <v>341</v>
      </c>
      <c r="AF13">
        <f t="shared" si="6"/>
        <v>454</v>
      </c>
      <c r="AI13">
        <f t="shared" si="7"/>
        <v>-160000</v>
      </c>
      <c r="AJ13">
        <f t="shared" si="8"/>
        <v>68200</v>
      </c>
      <c r="AL13">
        <f t="shared" si="9"/>
        <v>-91800</v>
      </c>
      <c r="AM13">
        <f t="shared" si="10"/>
        <v>106099.99999999997</v>
      </c>
    </row>
    <row r="14" spans="1:39">
      <c r="A14" s="41"/>
      <c r="B14" s="63">
        <v>0.1</v>
      </c>
      <c r="C14" s="63">
        <v>0</v>
      </c>
      <c r="D14" s="64">
        <v>4</v>
      </c>
      <c r="E14" s="44">
        <v>43122</v>
      </c>
      <c r="F14" s="41">
        <v>26909</v>
      </c>
      <c r="G14" s="41">
        <v>26900</v>
      </c>
      <c r="H14" s="41">
        <v>26900</v>
      </c>
      <c r="I14" s="45">
        <v>157</v>
      </c>
      <c r="J14" s="45">
        <v>186</v>
      </c>
      <c r="K14" s="45"/>
      <c r="L14" s="45">
        <v>225</v>
      </c>
      <c r="M14" s="45">
        <v>136</v>
      </c>
      <c r="N14" s="43">
        <f t="shared" si="0"/>
        <v>-18</v>
      </c>
      <c r="O14" s="77">
        <f>ImpliedCallVolatility(F14,G14,((D14)/365),B14,I14,C14)</f>
        <v>0.12187957763671875</v>
      </c>
      <c r="P14" s="77">
        <f>ImpliedPutVolatility(F14,H14,((D14)/365),B14,J14,C14)</f>
        <v>0.18222808837890625</v>
      </c>
      <c r="Q14" t="str">
        <f t="shared" si="1"/>
        <v>Buy</v>
      </c>
      <c r="R14">
        <f t="shared" si="2"/>
        <v>240.1</v>
      </c>
      <c r="S14">
        <f t="shared" si="3"/>
        <v>27149.1</v>
      </c>
      <c r="T14">
        <f t="shared" si="4"/>
        <v>26668.9</v>
      </c>
      <c r="U14" s="36">
        <v>0.63541666666666663</v>
      </c>
      <c r="V14">
        <v>27007</v>
      </c>
      <c r="AB14">
        <v>26909</v>
      </c>
      <c r="AC14">
        <v>27006</v>
      </c>
      <c r="AE14">
        <f t="shared" si="5"/>
        <v>97</v>
      </c>
      <c r="AF14">
        <f t="shared" si="6"/>
        <v>551</v>
      </c>
      <c r="AI14">
        <f t="shared" si="7"/>
        <v>-36000</v>
      </c>
      <c r="AJ14">
        <f t="shared" si="8"/>
        <v>19400</v>
      </c>
      <c r="AL14">
        <f t="shared" si="9"/>
        <v>-16600</v>
      </c>
      <c r="AM14">
        <f t="shared" si="10"/>
        <v>89499.999999999971</v>
      </c>
    </row>
    <row r="15" spans="1:39">
      <c r="A15" s="41"/>
      <c r="B15" s="63">
        <v>0.1</v>
      </c>
      <c r="C15" s="63">
        <v>0</v>
      </c>
      <c r="D15" s="64">
        <v>3</v>
      </c>
      <c r="E15" s="44">
        <v>43123</v>
      </c>
      <c r="F15" s="41">
        <v>27173</v>
      </c>
      <c r="G15" s="41">
        <v>27200</v>
      </c>
      <c r="H15" s="41">
        <v>27200</v>
      </c>
      <c r="I15" s="45">
        <v>141</v>
      </c>
      <c r="J15" s="45">
        <v>209</v>
      </c>
      <c r="K15" s="45"/>
      <c r="L15" s="45">
        <v>279</v>
      </c>
      <c r="M15" s="45">
        <v>80</v>
      </c>
      <c r="N15" s="43">
        <f t="shared" si="0"/>
        <v>-9</v>
      </c>
      <c r="O15" s="77">
        <f>ImpliedCallVolatility(F15,G15,((D15)/365),B15,I15,C15)</f>
        <v>0.14583587646484375</v>
      </c>
      <c r="P15" s="77">
        <f>ImpliedPutVolatility(F15,H15,((D15)/365),B15,J15,C15)</f>
        <v>0.21030426025390625</v>
      </c>
      <c r="Q15" t="str">
        <f t="shared" si="1"/>
        <v>Buy</v>
      </c>
      <c r="R15">
        <f t="shared" si="2"/>
        <v>244.99999999999997</v>
      </c>
      <c r="S15">
        <f t="shared" si="3"/>
        <v>27418</v>
      </c>
      <c r="T15">
        <f t="shared" si="4"/>
        <v>26928</v>
      </c>
      <c r="U15" s="36">
        <v>0.61458333333333337</v>
      </c>
      <c r="V15">
        <v>27384</v>
      </c>
      <c r="AB15">
        <v>27172</v>
      </c>
      <c r="AC15">
        <v>27397</v>
      </c>
      <c r="AE15">
        <f t="shared" si="5"/>
        <v>225</v>
      </c>
      <c r="AF15">
        <f t="shared" si="6"/>
        <v>776</v>
      </c>
      <c r="AI15">
        <f t="shared" si="7"/>
        <v>-18000</v>
      </c>
      <c r="AJ15">
        <f t="shared" si="8"/>
        <v>45000</v>
      </c>
      <c r="AL15">
        <f t="shared" si="9"/>
        <v>27000</v>
      </c>
      <c r="AM15">
        <f t="shared" si="10"/>
        <v>116499.99999999997</v>
      </c>
    </row>
    <row r="16" spans="1:39" ht="13.5" thickBot="1">
      <c r="A16" t="s">
        <v>57</v>
      </c>
      <c r="B16" s="63">
        <v>0.1</v>
      </c>
      <c r="C16" s="63">
        <v>0</v>
      </c>
      <c r="D16" s="64">
        <v>2</v>
      </c>
      <c r="E16" s="37">
        <v>43124</v>
      </c>
      <c r="F16">
        <v>27442</v>
      </c>
      <c r="G16">
        <v>27400</v>
      </c>
      <c r="H16">
        <v>27400</v>
      </c>
      <c r="I16" s="45">
        <v>168</v>
      </c>
      <c r="J16" s="45">
        <v>135</v>
      </c>
      <c r="K16" s="45"/>
      <c r="L16" s="45">
        <v>156</v>
      </c>
      <c r="M16" s="45">
        <v>121</v>
      </c>
      <c r="N16" s="35">
        <f t="shared" si="0"/>
        <v>26</v>
      </c>
      <c r="O16" s="77">
        <f>ImpliedCallVolatility(F16,G16,((D16)/365),B16,I16,C16)</f>
        <v>0.17002105712890625</v>
      </c>
      <c r="P16" s="77">
        <f>ImpliedPutVolatility(F16,H16,((D16)/365),B16,J16,C16)</f>
        <v>0.20000457763671875</v>
      </c>
      <c r="Q16" t="str">
        <f t="shared" si="1"/>
        <v>Buy</v>
      </c>
      <c r="R16">
        <f t="shared" si="2"/>
        <v>212.1</v>
      </c>
      <c r="S16">
        <f t="shared" si="3"/>
        <v>27654.1</v>
      </c>
      <c r="T16">
        <f t="shared" si="4"/>
        <v>27229.9</v>
      </c>
      <c r="U16" s="36">
        <v>0.41666666666666669</v>
      </c>
      <c r="V16">
        <v>27220</v>
      </c>
      <c r="AB16">
        <v>27441</v>
      </c>
      <c r="AC16">
        <v>27241</v>
      </c>
      <c r="AE16">
        <f t="shared" si="5"/>
        <v>-200</v>
      </c>
      <c r="AF16">
        <f t="shared" si="6"/>
        <v>576</v>
      </c>
      <c r="AI16">
        <f t="shared" si="7"/>
        <v>52000</v>
      </c>
      <c r="AJ16">
        <f t="shared" si="8"/>
        <v>-40000</v>
      </c>
      <c r="AL16">
        <f t="shared" si="9"/>
        <v>12000</v>
      </c>
      <c r="AM16">
        <f t="shared" si="10"/>
        <v>128499.99999999997</v>
      </c>
    </row>
    <row r="17" spans="1:40" ht="13.5" thickBot="1">
      <c r="A17" t="s">
        <v>58</v>
      </c>
      <c r="B17" s="63">
        <v>0.1</v>
      </c>
      <c r="C17" s="63">
        <v>0</v>
      </c>
      <c r="D17" s="64">
        <v>1</v>
      </c>
      <c r="E17" s="40">
        <v>43125</v>
      </c>
      <c r="F17">
        <v>27373</v>
      </c>
      <c r="G17">
        <v>27400</v>
      </c>
      <c r="H17">
        <v>27400</v>
      </c>
      <c r="I17" s="45">
        <v>76</v>
      </c>
      <c r="J17" s="45">
        <v>106</v>
      </c>
      <c r="K17" s="45"/>
      <c r="L17" s="45">
        <v>15</v>
      </c>
      <c r="M17" s="45">
        <v>163</v>
      </c>
      <c r="N17" s="35">
        <f t="shared" si="0"/>
        <v>4</v>
      </c>
      <c r="O17" s="77">
        <f>ImpliedCallVolatility(F17,G17,((D17)/365),B17,I17,C17)</f>
        <v>0.14934539794921875</v>
      </c>
      <c r="P17" s="77">
        <f>ImpliedPutVolatility(F17,H17,((D17)/365),B17,J17,C17)</f>
        <v>0.16780853271484375</v>
      </c>
      <c r="Q17" t="str">
        <f t="shared" si="1"/>
        <v>Buy</v>
      </c>
      <c r="R17">
        <f t="shared" si="2"/>
        <v>127.39999999999999</v>
      </c>
      <c r="S17">
        <f t="shared" si="3"/>
        <v>27500.400000000001</v>
      </c>
      <c r="T17">
        <f t="shared" si="4"/>
        <v>27245.599999999999</v>
      </c>
      <c r="U17" s="36">
        <v>0.57291666666666663</v>
      </c>
      <c r="V17">
        <v>27152</v>
      </c>
      <c r="AB17">
        <v>27373</v>
      </c>
      <c r="AC17">
        <v>27248</v>
      </c>
      <c r="AE17">
        <f t="shared" si="5"/>
        <v>-125</v>
      </c>
      <c r="AF17">
        <f t="shared" si="6"/>
        <v>451</v>
      </c>
      <c r="AI17">
        <f t="shared" si="7"/>
        <v>8000</v>
      </c>
      <c r="AJ17">
        <f t="shared" si="8"/>
        <v>-25000</v>
      </c>
      <c r="AL17">
        <f t="shared" si="9"/>
        <v>-17000</v>
      </c>
      <c r="AM17">
        <f t="shared" si="10"/>
        <v>111499.99999999997</v>
      </c>
    </row>
    <row r="18" spans="1:40">
      <c r="B18" s="63">
        <v>0.1</v>
      </c>
      <c r="C18" s="63">
        <v>0</v>
      </c>
      <c r="D18" s="64">
        <v>4</v>
      </c>
      <c r="E18" s="34">
        <v>43129</v>
      </c>
      <c r="F18">
        <v>27548</v>
      </c>
      <c r="G18">
        <v>27500</v>
      </c>
      <c r="H18">
        <v>27500</v>
      </c>
      <c r="I18" s="45">
        <v>342</v>
      </c>
      <c r="J18" s="45">
        <v>328</v>
      </c>
      <c r="K18" s="45"/>
      <c r="L18" s="45">
        <v>313</v>
      </c>
      <c r="M18" s="45">
        <v>320</v>
      </c>
      <c r="N18" s="35">
        <f t="shared" si="0"/>
        <v>37</v>
      </c>
      <c r="O18" s="77">
        <f>ImpliedCallVolatility(F18,G18,((D18)/365),B18,I18,C18)</f>
        <v>0.26226043701171875</v>
      </c>
      <c r="P18" s="77">
        <f>ImpliedPutVolatility(F18,H18,((D18)/365),B18,J18,C18)</f>
        <v>0.31833648681640625</v>
      </c>
      <c r="Q18" t="str">
        <f t="shared" si="1"/>
        <v>Buy</v>
      </c>
      <c r="R18">
        <f t="shared" si="2"/>
        <v>468.99999999999994</v>
      </c>
      <c r="S18">
        <f t="shared" si="3"/>
        <v>28017</v>
      </c>
      <c r="T18">
        <f t="shared" si="4"/>
        <v>27079</v>
      </c>
      <c r="U18" s="36">
        <v>0.63541666666666663</v>
      </c>
      <c r="V18">
        <v>27498</v>
      </c>
      <c r="AB18">
        <v>27547</v>
      </c>
      <c r="AC18">
        <v>27498</v>
      </c>
      <c r="AE18">
        <f t="shared" si="5"/>
        <v>-49</v>
      </c>
      <c r="AF18">
        <f t="shared" si="6"/>
        <v>402</v>
      </c>
      <c r="AI18">
        <f t="shared" si="7"/>
        <v>74000</v>
      </c>
      <c r="AJ18">
        <f t="shared" si="8"/>
        <v>-9800</v>
      </c>
      <c r="AL18">
        <f t="shared" si="9"/>
        <v>64200</v>
      </c>
      <c r="AM18">
        <f t="shared" si="10"/>
        <v>175699.99999999997</v>
      </c>
    </row>
    <row r="19" spans="1:40">
      <c r="B19" s="63">
        <v>0.1</v>
      </c>
      <c r="C19" s="63">
        <v>0</v>
      </c>
      <c r="D19" s="64">
        <v>3</v>
      </c>
      <c r="E19" s="37">
        <v>43130</v>
      </c>
      <c r="F19">
        <v>27346</v>
      </c>
      <c r="G19">
        <v>27300</v>
      </c>
      <c r="H19">
        <v>27300</v>
      </c>
      <c r="I19" s="45">
        <v>323</v>
      </c>
      <c r="J19" s="45">
        <v>289</v>
      </c>
      <c r="K19" s="45"/>
      <c r="L19" s="45">
        <v>310</v>
      </c>
      <c r="M19" s="45">
        <v>238</v>
      </c>
      <c r="N19" s="35">
        <f t="shared" si="0"/>
        <v>64</v>
      </c>
      <c r="O19" s="77">
        <f>ImpliedCallVolatility(F19,G19,((D19)/365),B19,I19,C19)</f>
        <v>0.29102325439453125</v>
      </c>
      <c r="P19" s="77">
        <f>ImpliedPutVolatility(F19,H19,((D19)/365),B19,J19,C19)</f>
        <v>0.32604217529296875</v>
      </c>
      <c r="Q19" t="str">
        <f t="shared" si="1"/>
        <v>Buy</v>
      </c>
      <c r="R19">
        <f t="shared" si="2"/>
        <v>428.4</v>
      </c>
      <c r="S19">
        <f t="shared" si="3"/>
        <v>27774.400000000001</v>
      </c>
      <c r="T19">
        <f t="shared" si="4"/>
        <v>26917.599999999999</v>
      </c>
      <c r="U19" s="36">
        <v>0.63541666666666663</v>
      </c>
      <c r="V19">
        <v>27279</v>
      </c>
      <c r="AB19">
        <v>27346</v>
      </c>
      <c r="AC19">
        <v>27278</v>
      </c>
      <c r="AE19">
        <f t="shared" si="5"/>
        <v>-68</v>
      </c>
      <c r="AF19">
        <f t="shared" si="6"/>
        <v>334</v>
      </c>
      <c r="AI19">
        <f t="shared" si="7"/>
        <v>128000</v>
      </c>
      <c r="AJ19">
        <f t="shared" si="8"/>
        <v>-13600</v>
      </c>
      <c r="AL19">
        <f t="shared" si="9"/>
        <v>114400</v>
      </c>
      <c r="AM19">
        <f t="shared" si="10"/>
        <v>290100</v>
      </c>
    </row>
    <row r="20" spans="1:40" ht="13.5" thickBot="1">
      <c r="A20" t="s">
        <v>57</v>
      </c>
      <c r="B20" s="63">
        <v>0.1</v>
      </c>
      <c r="C20" s="63">
        <v>0</v>
      </c>
      <c r="D20" s="64">
        <v>2</v>
      </c>
      <c r="E20" s="37">
        <v>43131</v>
      </c>
      <c r="F20">
        <v>27257</v>
      </c>
      <c r="G20">
        <v>27300</v>
      </c>
      <c r="H20">
        <v>27300</v>
      </c>
      <c r="I20" s="45">
        <v>218</v>
      </c>
      <c r="J20" s="45">
        <v>229</v>
      </c>
      <c r="K20" s="45"/>
      <c r="L20" s="45">
        <v>310</v>
      </c>
      <c r="M20" s="45">
        <v>166</v>
      </c>
      <c r="N20" s="35">
        <f t="shared" si="0"/>
        <v>-29</v>
      </c>
      <c r="O20" s="77">
        <f>ImpliedCallVolatility(F20,G20,((D20)/365),B20,I20,C20)</f>
        <v>0.28774261474609375</v>
      </c>
      <c r="P20" s="77">
        <f>ImpliedPutVolatility(F20,H20,((D20)/365),B20,J20,C20)</f>
        <v>0.26660919189453125</v>
      </c>
      <c r="Q20" t="str">
        <f t="shared" si="1"/>
        <v>Sell</v>
      </c>
      <c r="R20">
        <f t="shared" si="2"/>
        <v>312.89999999999998</v>
      </c>
      <c r="S20">
        <f t="shared" si="3"/>
        <v>27569.9</v>
      </c>
      <c r="T20">
        <f t="shared" si="4"/>
        <v>26944.1</v>
      </c>
      <c r="U20" s="36">
        <v>0.63541666666666663</v>
      </c>
      <c r="V20">
        <v>27381</v>
      </c>
      <c r="X20" t="s">
        <v>77</v>
      </c>
      <c r="Y20" s="72">
        <f>SUM(N3:N20)</f>
        <v>82.649999999999991</v>
      </c>
      <c r="AB20">
        <v>27332</v>
      </c>
      <c r="AC20">
        <v>27257</v>
      </c>
      <c r="AE20">
        <f t="shared" si="5"/>
        <v>-75</v>
      </c>
      <c r="AF20">
        <f t="shared" si="6"/>
        <v>259</v>
      </c>
      <c r="AG20">
        <f>SUM(AE3:AE20)</f>
        <v>259</v>
      </c>
      <c r="AI20">
        <f t="shared" si="7"/>
        <v>-58000</v>
      </c>
      <c r="AJ20">
        <f t="shared" si="8"/>
        <v>-15000</v>
      </c>
      <c r="AL20">
        <f t="shared" si="9"/>
        <v>-73000</v>
      </c>
      <c r="AM20">
        <f t="shared" si="10"/>
        <v>217100</v>
      </c>
      <c r="AN20">
        <v>217100</v>
      </c>
    </row>
    <row r="21" spans="1:40" ht="13.5" thickBot="1">
      <c r="A21" t="s">
        <v>58</v>
      </c>
      <c r="B21" s="63">
        <v>0.1</v>
      </c>
      <c r="C21" s="63">
        <v>0</v>
      </c>
      <c r="D21" s="64">
        <v>1</v>
      </c>
      <c r="E21" s="40">
        <v>43132</v>
      </c>
      <c r="F21">
        <v>27440</v>
      </c>
      <c r="G21">
        <v>27400</v>
      </c>
      <c r="H21">
        <v>27400</v>
      </c>
      <c r="I21" s="45">
        <v>237</v>
      </c>
      <c r="J21" s="45">
        <v>188</v>
      </c>
      <c r="K21" s="45"/>
      <c r="L21" s="45">
        <v>53</v>
      </c>
      <c r="M21" s="45">
        <v>343</v>
      </c>
      <c r="N21" s="35">
        <f t="shared" si="0"/>
        <v>29</v>
      </c>
      <c r="O21" s="77">
        <f>ImpliedCallVolatility(F21,G21,((D21)/365),B21,I21,C21)</f>
        <v>0.37097930908203125</v>
      </c>
      <c r="P21" s="77">
        <f>ImpliedPutVolatility(F21,H21,((D21)/365),B21,J21,C21)</f>
        <v>0.36838531494140625</v>
      </c>
      <c r="Q21" t="str">
        <f t="shared" si="1"/>
        <v>Sell</v>
      </c>
      <c r="R21">
        <f t="shared" si="2"/>
        <v>297.5</v>
      </c>
      <c r="S21">
        <f t="shared" si="3"/>
        <v>27737.5</v>
      </c>
      <c r="T21">
        <f t="shared" si="4"/>
        <v>27142.5</v>
      </c>
      <c r="U21" s="36">
        <v>0.53125</v>
      </c>
      <c r="V21">
        <v>27081</v>
      </c>
      <c r="AB21">
        <v>27440</v>
      </c>
      <c r="AC21">
        <v>27358</v>
      </c>
      <c r="AE21">
        <f t="shared" si="5"/>
        <v>-82</v>
      </c>
      <c r="AF21">
        <f t="shared" si="6"/>
        <v>177</v>
      </c>
      <c r="AI21">
        <f t="shared" ref="AI21:AI54" si="11">N21*2000</f>
        <v>58000</v>
      </c>
      <c r="AJ21">
        <f t="shared" ref="AJ21:AJ54" si="12">AE21*200</f>
        <v>-16400</v>
      </c>
      <c r="AL21">
        <f t="shared" ref="AL21:AL54" si="13">AI21+AJ21</f>
        <v>41600</v>
      </c>
      <c r="AM21">
        <f t="shared" ref="AM21:AM54" si="14">AL21+AM20</f>
        <v>258700</v>
      </c>
    </row>
    <row r="22" spans="1:40">
      <c r="B22" s="63">
        <v>0.1</v>
      </c>
      <c r="C22" s="63">
        <v>0</v>
      </c>
      <c r="D22" s="64">
        <v>5</v>
      </c>
      <c r="E22" s="34">
        <v>43133</v>
      </c>
      <c r="F22">
        <v>26820</v>
      </c>
      <c r="G22">
        <v>26800</v>
      </c>
      <c r="H22">
        <f>G22</f>
        <v>26800</v>
      </c>
      <c r="I22" s="45">
        <v>235</v>
      </c>
      <c r="J22" s="45">
        <v>213</v>
      </c>
      <c r="K22" s="36">
        <v>0.58333333333333337</v>
      </c>
      <c r="L22" s="45">
        <v>133</v>
      </c>
      <c r="M22" s="45">
        <v>391</v>
      </c>
      <c r="N22" s="35">
        <f t="shared" si="0"/>
        <v>-76</v>
      </c>
      <c r="O22" s="77">
        <f>ImpliedCallVolatility(F22,G22,((D22)/365),B22,I22,C22)</f>
        <v>0.16422271728515625</v>
      </c>
      <c r="P22" s="77">
        <f>ImpliedPutVolatility(F22,H22,((D22)/365),B22,J22,C22)</f>
        <v>0.19207000732421875</v>
      </c>
      <c r="Q22" t="str">
        <f t="shared" si="1"/>
        <v>Buy</v>
      </c>
      <c r="R22">
        <f t="shared" si="2"/>
        <v>313.59999999999997</v>
      </c>
      <c r="S22">
        <f t="shared" si="3"/>
        <v>27133.599999999999</v>
      </c>
      <c r="T22">
        <f t="shared" si="4"/>
        <v>26506.400000000001</v>
      </c>
      <c r="U22" s="36">
        <v>0.60416666666666663</v>
      </c>
      <c r="V22">
        <v>26592</v>
      </c>
      <c r="AB22">
        <v>26819</v>
      </c>
      <c r="AC22">
        <v>26619</v>
      </c>
      <c r="AE22">
        <f t="shared" si="5"/>
        <v>-200</v>
      </c>
      <c r="AF22">
        <f t="shared" si="6"/>
        <v>-23</v>
      </c>
      <c r="AI22">
        <f t="shared" si="11"/>
        <v>-152000</v>
      </c>
      <c r="AJ22">
        <f t="shared" si="12"/>
        <v>-40000</v>
      </c>
      <c r="AL22">
        <f t="shared" si="13"/>
        <v>-192000</v>
      </c>
      <c r="AM22">
        <f t="shared" si="14"/>
        <v>66700</v>
      </c>
    </row>
    <row r="23" spans="1:40">
      <c r="B23" s="63">
        <v>0.1</v>
      </c>
      <c r="C23" s="63">
        <v>0</v>
      </c>
      <c r="D23" s="64">
        <v>4</v>
      </c>
      <c r="E23" s="37">
        <v>43136</v>
      </c>
      <c r="F23">
        <v>25995</v>
      </c>
      <c r="G23">
        <v>26000</v>
      </c>
      <c r="H23">
        <f>G23</f>
        <v>26000</v>
      </c>
      <c r="I23" s="45">
        <v>220</v>
      </c>
      <c r="J23" s="45">
        <v>225</v>
      </c>
      <c r="K23" s="36">
        <v>0.52083333333333337</v>
      </c>
      <c r="L23" s="45">
        <v>101</v>
      </c>
      <c r="M23" s="45">
        <v>354</v>
      </c>
      <c r="N23" s="35">
        <f t="shared" si="0"/>
        <v>-10</v>
      </c>
      <c r="O23" s="77">
        <f>ImpliedCallVolatility(F23,G23,((D23)/365),B23,I23,C23)</f>
        <v>0.19176483154296875</v>
      </c>
      <c r="P23" s="77">
        <f>ImpliedPutVolatility(F23,H23,((D23)/365),B23,J23,C23)</f>
        <v>0.21800994873046875</v>
      </c>
      <c r="Q23" t="str">
        <f t="shared" si="1"/>
        <v>Buy</v>
      </c>
      <c r="R23">
        <f t="shared" si="2"/>
        <v>311.5</v>
      </c>
      <c r="S23">
        <f t="shared" si="3"/>
        <v>26306.5</v>
      </c>
      <c r="T23">
        <f t="shared" si="4"/>
        <v>25683.5</v>
      </c>
      <c r="U23" s="36">
        <v>0.63541666666666663</v>
      </c>
      <c r="V23">
        <v>26097</v>
      </c>
      <c r="AB23">
        <v>25994</v>
      </c>
      <c r="AC23">
        <v>26094</v>
      </c>
      <c r="AE23">
        <f t="shared" si="5"/>
        <v>100</v>
      </c>
      <c r="AF23">
        <f t="shared" si="6"/>
        <v>77</v>
      </c>
      <c r="AI23">
        <f t="shared" si="11"/>
        <v>-20000</v>
      </c>
      <c r="AJ23">
        <f t="shared" si="12"/>
        <v>20000</v>
      </c>
      <c r="AL23">
        <f t="shared" si="13"/>
        <v>0</v>
      </c>
      <c r="AM23">
        <f t="shared" si="14"/>
        <v>66700</v>
      </c>
    </row>
    <row r="24" spans="1:40">
      <c r="B24" s="63">
        <v>0.1</v>
      </c>
      <c r="C24" s="63">
        <v>0</v>
      </c>
      <c r="D24" s="64">
        <v>3</v>
      </c>
      <c r="E24" s="37">
        <v>43137</v>
      </c>
      <c r="F24">
        <v>25323</v>
      </c>
      <c r="G24">
        <v>25300</v>
      </c>
      <c r="H24">
        <f>G24</f>
        <v>25300</v>
      </c>
      <c r="I24" s="45">
        <v>155</v>
      </c>
      <c r="J24" s="45">
        <v>181</v>
      </c>
      <c r="K24" s="36">
        <v>0.63541666666666663</v>
      </c>
      <c r="L24" s="45">
        <v>81</v>
      </c>
      <c r="M24" s="45">
        <v>240</v>
      </c>
      <c r="N24" s="35">
        <f t="shared" si="0"/>
        <v>15</v>
      </c>
      <c r="O24" s="77">
        <f>ImpliedCallVolatility(F24,G24,((D24)/365),B24,I24,C24)</f>
        <v>0.14423370361328125</v>
      </c>
      <c r="P24" s="77">
        <f>ImpliedPutVolatility(F24,H24,((D24)/365),B24,J24,C24)</f>
        <v>0.22090911865234375</v>
      </c>
      <c r="Q24" t="str">
        <f t="shared" si="1"/>
        <v>Buy</v>
      </c>
      <c r="R24">
        <f t="shared" si="2"/>
        <v>235.2</v>
      </c>
      <c r="S24">
        <f t="shared" si="3"/>
        <v>25558.2</v>
      </c>
      <c r="T24">
        <f t="shared" si="4"/>
        <v>25087.8</v>
      </c>
      <c r="U24" s="36">
        <v>0.58333333333333337</v>
      </c>
      <c r="V24">
        <v>25602</v>
      </c>
      <c r="AB24">
        <v>25323</v>
      </c>
      <c r="AC24">
        <v>25752</v>
      </c>
      <c r="AE24">
        <f t="shared" si="5"/>
        <v>429</v>
      </c>
      <c r="AF24">
        <f t="shared" si="6"/>
        <v>506</v>
      </c>
      <c r="AI24">
        <f t="shared" si="11"/>
        <v>30000</v>
      </c>
      <c r="AJ24">
        <f t="shared" si="12"/>
        <v>85800</v>
      </c>
      <c r="AL24">
        <f t="shared" si="13"/>
        <v>115800</v>
      </c>
      <c r="AM24">
        <f t="shared" si="14"/>
        <v>182500</v>
      </c>
    </row>
    <row r="25" spans="1:40" ht="13.5" thickBot="1">
      <c r="A25" t="s">
        <v>57</v>
      </c>
      <c r="B25" s="63">
        <v>0.1</v>
      </c>
      <c r="C25" s="63">
        <v>0</v>
      </c>
      <c r="D25" s="64">
        <v>2</v>
      </c>
      <c r="E25" s="37">
        <v>43138</v>
      </c>
      <c r="F25">
        <v>25957</v>
      </c>
      <c r="G25">
        <v>26000</v>
      </c>
      <c r="H25">
        <f>G25</f>
        <v>26000</v>
      </c>
      <c r="I25" s="45">
        <v>125</v>
      </c>
      <c r="J25" s="45">
        <v>147</v>
      </c>
      <c r="K25" s="36">
        <v>0.63541666666666663</v>
      </c>
      <c r="L25" s="45">
        <v>92</v>
      </c>
      <c r="M25" s="45">
        <v>135</v>
      </c>
      <c r="N25" s="35">
        <f t="shared" si="0"/>
        <v>45</v>
      </c>
      <c r="O25" s="77">
        <f>ImpliedCallVolatility(F25,G25,((D25)/365),B25,I25,C25)</f>
        <v>0.18108367919921875</v>
      </c>
      <c r="P25" s="77">
        <f>ImpliedPutVolatility(F25,H25,((D25)/365),B25,J25,C25)</f>
        <v>0.17223358154296875</v>
      </c>
      <c r="Q25" t="str">
        <f t="shared" si="1"/>
        <v>Sell</v>
      </c>
      <c r="R25">
        <f t="shared" si="2"/>
        <v>190.39999999999998</v>
      </c>
      <c r="S25">
        <f t="shared" si="3"/>
        <v>26147.4</v>
      </c>
      <c r="T25">
        <f t="shared" si="4"/>
        <v>25766.6</v>
      </c>
      <c r="U25" s="36">
        <v>0.46875</v>
      </c>
      <c r="V25">
        <v>25742</v>
      </c>
      <c r="AB25">
        <v>25673</v>
      </c>
      <c r="AC25">
        <v>25957</v>
      </c>
      <c r="AE25">
        <f t="shared" si="5"/>
        <v>284</v>
      </c>
      <c r="AF25">
        <f t="shared" si="6"/>
        <v>790</v>
      </c>
      <c r="AI25">
        <f t="shared" si="11"/>
        <v>90000</v>
      </c>
      <c r="AJ25">
        <f t="shared" si="12"/>
        <v>56800</v>
      </c>
      <c r="AL25">
        <f t="shared" si="13"/>
        <v>146800</v>
      </c>
      <c r="AM25">
        <f t="shared" si="14"/>
        <v>329300</v>
      </c>
    </row>
    <row r="26" spans="1:40" ht="13.5" thickBot="1">
      <c r="A26" t="s">
        <v>58</v>
      </c>
      <c r="B26" s="63">
        <v>0.1</v>
      </c>
      <c r="C26" s="63">
        <v>0</v>
      </c>
      <c r="D26" s="64">
        <v>1</v>
      </c>
      <c r="E26" s="40">
        <v>43139</v>
      </c>
      <c r="F26">
        <v>25758</v>
      </c>
      <c r="G26">
        <v>25800</v>
      </c>
      <c r="H26">
        <f>G26</f>
        <v>25800</v>
      </c>
      <c r="I26" s="45">
        <v>51</v>
      </c>
      <c r="J26" s="45">
        <v>107</v>
      </c>
      <c r="K26" s="36">
        <v>0.63541666666666663</v>
      </c>
      <c r="L26" s="45">
        <v>86</v>
      </c>
      <c r="M26" s="45">
        <v>0.3</v>
      </c>
      <c r="N26" s="35">
        <f t="shared" si="0"/>
        <v>71.7</v>
      </c>
      <c r="O26" s="77">
        <f>ImpliedCallVolatility(F26,G26,((D26)/365),B26,I26,C26)</f>
        <v>0.12454986572265625</v>
      </c>
      <c r="P26" s="77">
        <f>ImpliedPutVolatility(F26,H26,((D26)/365),B26,J26,C26)</f>
        <v>0.16429901123046875</v>
      </c>
      <c r="Q26" t="str">
        <f t="shared" si="1"/>
        <v>Buy</v>
      </c>
      <c r="R26">
        <f t="shared" si="2"/>
        <v>110.6</v>
      </c>
      <c r="S26">
        <f t="shared" si="3"/>
        <v>25868.6</v>
      </c>
      <c r="T26">
        <f t="shared" si="4"/>
        <v>25647.4</v>
      </c>
      <c r="U26" s="36">
        <v>0.44791666666666669</v>
      </c>
      <c r="V26">
        <v>26018</v>
      </c>
      <c r="AB26">
        <v>25757</v>
      </c>
      <c r="AC26">
        <v>25948</v>
      </c>
      <c r="AE26">
        <f t="shared" si="5"/>
        <v>191</v>
      </c>
      <c r="AF26">
        <f t="shared" si="6"/>
        <v>981</v>
      </c>
      <c r="AI26">
        <f t="shared" si="11"/>
        <v>143400</v>
      </c>
      <c r="AJ26">
        <f t="shared" si="12"/>
        <v>38200</v>
      </c>
      <c r="AL26">
        <f t="shared" si="13"/>
        <v>181600</v>
      </c>
      <c r="AM26">
        <f t="shared" si="14"/>
        <v>510900</v>
      </c>
    </row>
    <row r="27" spans="1:40">
      <c r="A27" s="41"/>
      <c r="B27" s="63">
        <v>0.1</v>
      </c>
      <c r="C27" s="63">
        <v>0</v>
      </c>
      <c r="D27" s="64">
        <v>4</v>
      </c>
      <c r="E27" s="42">
        <v>43140</v>
      </c>
      <c r="F27" s="41">
        <v>25500</v>
      </c>
      <c r="G27" s="41">
        <v>25500</v>
      </c>
      <c r="H27" s="41">
        <v>25500</v>
      </c>
      <c r="I27" s="41">
        <v>325</v>
      </c>
      <c r="J27" s="41">
        <v>367</v>
      </c>
      <c r="K27" s="46">
        <v>0.63541666666666663</v>
      </c>
      <c r="L27" s="41">
        <v>315</v>
      </c>
      <c r="M27" s="41">
        <v>332</v>
      </c>
      <c r="N27" s="43">
        <f t="shared" si="0"/>
        <v>45</v>
      </c>
      <c r="O27" s="77">
        <f>ImpliedCallVolatility(F27,G27,((D27)/365),B27,I27,C27)</f>
        <v>0.29201507568359375</v>
      </c>
      <c r="P27" s="77">
        <f>ImpliedPutVolatility(F27,H27,((D27)/365),B27,J27,C27)</f>
        <v>0.35778045654296875</v>
      </c>
      <c r="Q27" t="str">
        <f t="shared" si="1"/>
        <v>Buy</v>
      </c>
      <c r="R27">
        <f t="shared" si="2"/>
        <v>484.4</v>
      </c>
      <c r="S27">
        <f t="shared" si="3"/>
        <v>25984.400000000001</v>
      </c>
      <c r="T27">
        <f t="shared" si="4"/>
        <v>25015.599999999999</v>
      </c>
      <c r="U27" s="36">
        <v>0.63541666666666663</v>
      </c>
      <c r="V27">
        <v>25479</v>
      </c>
      <c r="AB27">
        <v>25499</v>
      </c>
      <c r="AC27">
        <v>25478</v>
      </c>
      <c r="AE27">
        <f t="shared" si="5"/>
        <v>-21</v>
      </c>
      <c r="AF27">
        <f t="shared" si="6"/>
        <v>960</v>
      </c>
      <c r="AI27">
        <f t="shared" si="11"/>
        <v>90000</v>
      </c>
      <c r="AJ27">
        <f t="shared" si="12"/>
        <v>-4200</v>
      </c>
      <c r="AL27">
        <f t="shared" si="13"/>
        <v>85800</v>
      </c>
      <c r="AM27">
        <f t="shared" si="14"/>
        <v>596700</v>
      </c>
    </row>
    <row r="28" spans="1:40">
      <c r="A28" s="41"/>
      <c r="B28" s="63">
        <v>0.1</v>
      </c>
      <c r="C28" s="63">
        <v>0</v>
      </c>
      <c r="D28" s="64">
        <v>3</v>
      </c>
      <c r="E28" s="44">
        <v>43143</v>
      </c>
      <c r="F28" s="41">
        <v>25628</v>
      </c>
      <c r="G28" s="41">
        <v>25600</v>
      </c>
      <c r="H28" s="41">
        <v>25600</v>
      </c>
      <c r="I28" s="41">
        <v>269</v>
      </c>
      <c r="J28" s="41">
        <v>227</v>
      </c>
      <c r="K28" s="46">
        <v>0.63541666666666663</v>
      </c>
      <c r="L28" s="41">
        <v>248</v>
      </c>
      <c r="M28" s="41">
        <v>175</v>
      </c>
      <c r="N28" s="43">
        <f t="shared" si="0"/>
        <v>73</v>
      </c>
      <c r="O28" s="77">
        <f>ImpliedCallVolatility(F28,G28,((D28)/365),B28,I28,C28)</f>
        <v>0.26317596435546875</v>
      </c>
      <c r="P28" s="77">
        <f>ImpliedPutVolatility(F28,H28,((D28)/365),B28,J28,C28)</f>
        <v>0.27080535888671875</v>
      </c>
      <c r="Q28" t="str">
        <f t="shared" si="1"/>
        <v>Buy</v>
      </c>
      <c r="R28">
        <f t="shared" si="2"/>
        <v>347.2</v>
      </c>
      <c r="S28">
        <f t="shared" si="3"/>
        <v>25975.200000000001</v>
      </c>
      <c r="T28">
        <f t="shared" si="4"/>
        <v>25280.799999999999</v>
      </c>
      <c r="U28" s="36">
        <v>0.63541666666666663</v>
      </c>
      <c r="V28">
        <v>25691</v>
      </c>
      <c r="AB28">
        <v>25628</v>
      </c>
      <c r="AC28">
        <v>25690</v>
      </c>
      <c r="AE28">
        <f t="shared" si="5"/>
        <v>62</v>
      </c>
      <c r="AF28">
        <f t="shared" si="6"/>
        <v>1022</v>
      </c>
      <c r="AI28">
        <f t="shared" si="11"/>
        <v>146000</v>
      </c>
      <c r="AJ28">
        <f t="shared" si="12"/>
        <v>12400</v>
      </c>
      <c r="AL28">
        <f t="shared" si="13"/>
        <v>158400</v>
      </c>
      <c r="AM28">
        <f t="shared" si="14"/>
        <v>755100</v>
      </c>
    </row>
    <row r="29" spans="1:40" ht="13.5" thickBot="1">
      <c r="A29" s="41" t="s">
        <v>57</v>
      </c>
      <c r="B29" s="63">
        <v>0.1</v>
      </c>
      <c r="C29" s="63">
        <v>0</v>
      </c>
      <c r="D29" s="64">
        <v>2</v>
      </c>
      <c r="E29" s="44">
        <v>43145</v>
      </c>
      <c r="F29" s="41">
        <v>25685</v>
      </c>
      <c r="G29" s="41">
        <v>25700</v>
      </c>
      <c r="H29" s="41">
        <v>25700</v>
      </c>
      <c r="I29" s="45">
        <v>157</v>
      </c>
      <c r="J29" s="41">
        <v>146</v>
      </c>
      <c r="K29" s="46">
        <v>0.54166666666666663</v>
      </c>
      <c r="L29" s="41">
        <v>69</v>
      </c>
      <c r="M29" s="41">
        <v>244</v>
      </c>
      <c r="N29" s="43">
        <f t="shared" si="0"/>
        <v>-10</v>
      </c>
      <c r="O29" s="77">
        <f>ImpliedCallVolatility(F29,G29,((D29)/365),B29,I29,C29)</f>
        <v>0.20755767822265625</v>
      </c>
      <c r="P29" s="77">
        <f>ImpliedPutVolatility(F29,H29,((D29)/365),B29,J29,C29)</f>
        <v>0.19184112548828125</v>
      </c>
      <c r="Q29" t="str">
        <f t="shared" si="1"/>
        <v>Sell</v>
      </c>
      <c r="R29">
        <f t="shared" si="2"/>
        <v>212.1</v>
      </c>
      <c r="S29">
        <f t="shared" si="3"/>
        <v>25897.1</v>
      </c>
      <c r="T29">
        <f t="shared" si="4"/>
        <v>25472.9</v>
      </c>
      <c r="U29" s="36">
        <v>0.54166666666666663</v>
      </c>
      <c r="V29">
        <v>25466</v>
      </c>
      <c r="AB29">
        <v>25364</v>
      </c>
      <c r="AC29">
        <v>25684</v>
      </c>
      <c r="AE29">
        <f t="shared" si="5"/>
        <v>320</v>
      </c>
      <c r="AF29">
        <f t="shared" si="6"/>
        <v>1342</v>
      </c>
      <c r="AI29">
        <f t="shared" si="11"/>
        <v>-20000</v>
      </c>
      <c r="AJ29">
        <f t="shared" si="12"/>
        <v>64000</v>
      </c>
      <c r="AL29">
        <f t="shared" si="13"/>
        <v>44000</v>
      </c>
      <c r="AM29">
        <f t="shared" si="14"/>
        <v>799100</v>
      </c>
    </row>
    <row r="30" spans="1:40" ht="13.5" thickBot="1">
      <c r="A30" s="41" t="s">
        <v>58</v>
      </c>
      <c r="B30" s="63">
        <v>0.1</v>
      </c>
      <c r="C30" s="63">
        <v>0</v>
      </c>
      <c r="D30" s="64">
        <v>1</v>
      </c>
      <c r="E30" s="47">
        <v>43146</v>
      </c>
      <c r="F30" s="41">
        <v>25405</v>
      </c>
      <c r="G30" s="41">
        <v>25400</v>
      </c>
      <c r="H30" s="41">
        <v>25400</v>
      </c>
      <c r="I30" s="45">
        <v>84</v>
      </c>
      <c r="J30" s="45">
        <v>87</v>
      </c>
      <c r="K30" s="46">
        <v>0.41666666666666669</v>
      </c>
      <c r="L30" s="45">
        <v>144</v>
      </c>
      <c r="M30" s="41">
        <v>41</v>
      </c>
      <c r="N30" s="43">
        <f t="shared" si="0"/>
        <v>-14</v>
      </c>
      <c r="O30" s="77">
        <f>ImpliedCallVolatility(F30,G30,((D30)/365),B30,I30,C30)</f>
        <v>0.14682769775390625</v>
      </c>
      <c r="P30" s="77">
        <f>ImpliedPutVolatility(F30,H30,((D30)/365),B30,J30,C30)</f>
        <v>0.17505645751953125</v>
      </c>
      <c r="Q30" t="str">
        <f t="shared" si="1"/>
        <v>Buy</v>
      </c>
      <c r="R30">
        <f t="shared" si="2"/>
        <v>119.69999999999999</v>
      </c>
      <c r="S30">
        <f t="shared" si="3"/>
        <v>25524.7</v>
      </c>
      <c r="T30">
        <f t="shared" si="4"/>
        <v>25285.3</v>
      </c>
      <c r="U30" s="36">
        <v>0.54166666666666663</v>
      </c>
      <c r="V30">
        <v>25613</v>
      </c>
      <c r="AB30">
        <v>25405</v>
      </c>
      <c r="AC30">
        <v>25430</v>
      </c>
      <c r="AE30">
        <f t="shared" si="5"/>
        <v>25</v>
      </c>
      <c r="AF30">
        <f t="shared" si="6"/>
        <v>1367</v>
      </c>
      <c r="AI30">
        <f t="shared" si="11"/>
        <v>-28000</v>
      </c>
      <c r="AJ30">
        <f t="shared" si="12"/>
        <v>5000</v>
      </c>
      <c r="AL30">
        <f t="shared" si="13"/>
        <v>-23000</v>
      </c>
      <c r="AM30">
        <f t="shared" si="14"/>
        <v>776100</v>
      </c>
    </row>
    <row r="31" spans="1:40">
      <c r="A31" s="41"/>
      <c r="B31" s="63">
        <v>0.1</v>
      </c>
      <c r="C31" s="63">
        <v>0</v>
      </c>
      <c r="D31" s="64">
        <v>5</v>
      </c>
      <c r="E31" s="42">
        <v>43147</v>
      </c>
      <c r="F31" s="41">
        <v>25519</v>
      </c>
      <c r="G31" s="41">
        <v>25500</v>
      </c>
      <c r="H31" s="41">
        <v>25500</v>
      </c>
      <c r="I31" s="45">
        <v>246</v>
      </c>
      <c r="J31" s="45">
        <v>213</v>
      </c>
      <c r="K31" s="46">
        <v>0.58333333333333337</v>
      </c>
      <c r="L31" s="45">
        <v>133</v>
      </c>
      <c r="M31" s="45">
        <v>391</v>
      </c>
      <c r="N31" s="43">
        <f t="shared" si="0"/>
        <v>-65</v>
      </c>
      <c r="O31" s="77">
        <f>ImpliedCallVolatility(F31,G31,((D31)/365),B31,I31,C31)</f>
        <v>0.18314361572265625</v>
      </c>
      <c r="P31" s="77">
        <f>ImpliedPutVolatility(F31,H31,((D31)/365),B31,J31,C31)</f>
        <v>0.20076751708984375</v>
      </c>
      <c r="Q31" t="str">
        <f t="shared" si="1"/>
        <v>Buy</v>
      </c>
      <c r="R31">
        <f t="shared" si="2"/>
        <v>321.29999999999995</v>
      </c>
      <c r="S31">
        <f t="shared" si="3"/>
        <v>25840.3</v>
      </c>
      <c r="T31">
        <f t="shared" si="4"/>
        <v>25197.7</v>
      </c>
      <c r="U31" s="36">
        <v>0.47916666666666669</v>
      </c>
      <c r="V31">
        <v>25315</v>
      </c>
      <c r="AB31">
        <v>25519</v>
      </c>
      <c r="AC31">
        <v>25319</v>
      </c>
      <c r="AE31">
        <f t="shared" si="5"/>
        <v>-200</v>
      </c>
      <c r="AF31">
        <f t="shared" si="6"/>
        <v>1167</v>
      </c>
      <c r="AI31">
        <f t="shared" si="11"/>
        <v>-130000</v>
      </c>
      <c r="AJ31">
        <f t="shared" si="12"/>
        <v>-40000</v>
      </c>
      <c r="AL31">
        <f t="shared" si="13"/>
        <v>-170000</v>
      </c>
      <c r="AM31">
        <f t="shared" si="14"/>
        <v>606100</v>
      </c>
    </row>
    <row r="32" spans="1:40">
      <c r="A32" s="41"/>
      <c r="B32" s="63">
        <v>0.1</v>
      </c>
      <c r="C32" s="63">
        <v>0</v>
      </c>
      <c r="D32" s="64">
        <v>4</v>
      </c>
      <c r="E32" s="44">
        <v>43150</v>
      </c>
      <c r="F32" s="41">
        <v>25191</v>
      </c>
      <c r="G32" s="41">
        <v>25200</v>
      </c>
      <c r="H32" s="41">
        <v>25200</v>
      </c>
      <c r="I32" s="45">
        <v>219</v>
      </c>
      <c r="J32" s="45">
        <v>225</v>
      </c>
      <c r="K32" s="46">
        <v>0.52083333333333337</v>
      </c>
      <c r="L32" s="45">
        <v>101</v>
      </c>
      <c r="M32" s="45">
        <v>354</v>
      </c>
      <c r="N32" s="43">
        <f t="shared" si="0"/>
        <v>-11</v>
      </c>
      <c r="O32" s="77">
        <f>ImpliedCallVolatility(F32,G32,((D32)/365),B32,I32,C32)</f>
        <v>0.19924163818359375</v>
      </c>
      <c r="P32" s="77">
        <f>ImpliedPutVolatility(F32,H32,((D32)/365),B32,J32,C32)</f>
        <v>0.22266387939453125</v>
      </c>
      <c r="Q32" t="str">
        <f t="shared" si="1"/>
        <v>Buy</v>
      </c>
      <c r="R32">
        <f t="shared" si="2"/>
        <v>310.79999999999995</v>
      </c>
      <c r="S32">
        <f t="shared" si="3"/>
        <v>25501.8</v>
      </c>
      <c r="T32">
        <f t="shared" si="4"/>
        <v>24880.2</v>
      </c>
      <c r="U32" s="36">
        <v>0.41666666666666669</v>
      </c>
      <c r="V32">
        <v>24957</v>
      </c>
      <c r="AB32">
        <v>25191</v>
      </c>
      <c r="AC32">
        <v>24991</v>
      </c>
      <c r="AE32">
        <f t="shared" si="5"/>
        <v>-200</v>
      </c>
      <c r="AF32">
        <f t="shared" si="6"/>
        <v>967</v>
      </c>
      <c r="AI32">
        <f t="shared" si="11"/>
        <v>-22000</v>
      </c>
      <c r="AJ32">
        <f t="shared" si="12"/>
        <v>-40000</v>
      </c>
      <c r="AL32">
        <f t="shared" si="13"/>
        <v>-62000</v>
      </c>
      <c r="AM32">
        <f t="shared" si="14"/>
        <v>544100</v>
      </c>
    </row>
    <row r="33" spans="1:40">
      <c r="A33" s="41"/>
      <c r="B33" s="63">
        <v>0.1</v>
      </c>
      <c r="C33" s="63">
        <v>0</v>
      </c>
      <c r="D33" s="64">
        <v>3</v>
      </c>
      <c r="E33" s="44">
        <v>43151</v>
      </c>
      <c r="F33" s="41">
        <v>24986</v>
      </c>
      <c r="G33" s="41">
        <v>25000</v>
      </c>
      <c r="H33" s="41">
        <v>25000</v>
      </c>
      <c r="I33" s="45">
        <v>164</v>
      </c>
      <c r="J33" s="45">
        <v>181</v>
      </c>
      <c r="K33" s="46">
        <v>0.63541666666666663</v>
      </c>
      <c r="L33" s="45">
        <v>81</v>
      </c>
      <c r="M33" s="45">
        <v>256</v>
      </c>
      <c r="N33" s="43">
        <f t="shared" si="0"/>
        <v>8</v>
      </c>
      <c r="O33" s="77">
        <f>ImpliedCallVolatility(F33,G33,((D33)/365),B33,I33,C33)</f>
        <v>0.17787933349609375</v>
      </c>
      <c r="P33" s="77">
        <f>ImpliedPutVolatility(F33,H33,((D33)/365),B33,J33,C33)</f>
        <v>0.20389556884765625</v>
      </c>
      <c r="Q33" t="str">
        <f t="shared" si="1"/>
        <v>Buy</v>
      </c>
      <c r="R33">
        <f t="shared" si="2"/>
        <v>241.49999999999997</v>
      </c>
      <c r="S33">
        <f t="shared" si="3"/>
        <v>25227.5</v>
      </c>
      <c r="T33">
        <f t="shared" si="4"/>
        <v>24744.5</v>
      </c>
      <c r="U33" s="36">
        <v>0.63541666666666663</v>
      </c>
      <c r="V33">
        <v>24851</v>
      </c>
      <c r="AB33">
        <v>24985</v>
      </c>
      <c r="AC33">
        <v>24916</v>
      </c>
      <c r="AE33">
        <f t="shared" si="5"/>
        <v>-69</v>
      </c>
      <c r="AF33">
        <f t="shared" si="6"/>
        <v>898</v>
      </c>
      <c r="AI33">
        <f t="shared" si="11"/>
        <v>16000</v>
      </c>
      <c r="AJ33">
        <f t="shared" si="12"/>
        <v>-13800</v>
      </c>
      <c r="AL33">
        <f t="shared" si="13"/>
        <v>2200</v>
      </c>
      <c r="AM33">
        <f t="shared" si="14"/>
        <v>546300</v>
      </c>
    </row>
    <row r="34" spans="1:40" ht="13.5" thickBot="1">
      <c r="A34" s="41" t="s">
        <v>57</v>
      </c>
      <c r="B34" s="63">
        <v>0.1</v>
      </c>
      <c r="C34" s="63">
        <v>0</v>
      </c>
      <c r="D34" s="64">
        <v>2</v>
      </c>
      <c r="E34" s="44">
        <v>43152</v>
      </c>
      <c r="F34" s="41">
        <v>24890</v>
      </c>
      <c r="G34" s="41">
        <v>24900</v>
      </c>
      <c r="H34" s="41">
        <v>24900</v>
      </c>
      <c r="I34" s="45">
        <v>134</v>
      </c>
      <c r="J34" s="45">
        <v>147</v>
      </c>
      <c r="K34" s="46">
        <v>0.63541666666666663</v>
      </c>
      <c r="L34" s="45">
        <v>114</v>
      </c>
      <c r="M34" s="45">
        <v>98</v>
      </c>
      <c r="N34" s="43">
        <f t="shared" si="0"/>
        <v>69</v>
      </c>
      <c r="O34" s="77">
        <f>ImpliedCallVolatility(F34,G34,((D34)/365),B34,I34,C34)</f>
        <v>0.17986297607421875</v>
      </c>
      <c r="P34" s="77">
        <f>ImpliedPutVolatility(F34,H34,((D34)/365),B34,J34,C34)</f>
        <v>0.20244598388671875</v>
      </c>
      <c r="Q34" t="str">
        <f t="shared" si="1"/>
        <v>Buy</v>
      </c>
      <c r="R34">
        <f t="shared" si="2"/>
        <v>196.7</v>
      </c>
      <c r="S34">
        <f t="shared" si="3"/>
        <v>25086.7</v>
      </c>
      <c r="T34">
        <f t="shared" si="4"/>
        <v>24693.3</v>
      </c>
      <c r="U34" s="36">
        <v>0.63541666666666663</v>
      </c>
      <c r="V34">
        <v>24931</v>
      </c>
      <c r="AB34">
        <v>24889</v>
      </c>
      <c r="AC34">
        <v>24931</v>
      </c>
      <c r="AE34">
        <f t="shared" si="5"/>
        <v>42</v>
      </c>
      <c r="AF34">
        <f t="shared" si="6"/>
        <v>940</v>
      </c>
      <c r="AI34">
        <f t="shared" si="11"/>
        <v>138000</v>
      </c>
      <c r="AJ34">
        <f t="shared" si="12"/>
        <v>8400</v>
      </c>
      <c r="AL34">
        <f t="shared" si="13"/>
        <v>146400</v>
      </c>
      <c r="AM34">
        <f t="shared" si="14"/>
        <v>692700</v>
      </c>
    </row>
    <row r="35" spans="1:40" ht="13.5" thickBot="1">
      <c r="A35" s="41" t="s">
        <v>58</v>
      </c>
      <c r="B35" s="63">
        <v>0.1</v>
      </c>
      <c r="C35" s="63">
        <v>0</v>
      </c>
      <c r="D35" s="64">
        <v>1</v>
      </c>
      <c r="E35" s="47">
        <v>43153</v>
      </c>
      <c r="F35" s="41">
        <v>24864</v>
      </c>
      <c r="G35" s="41">
        <v>24900</v>
      </c>
      <c r="H35" s="41">
        <v>24900</v>
      </c>
      <c r="I35" s="45">
        <v>59</v>
      </c>
      <c r="J35" s="45">
        <v>107</v>
      </c>
      <c r="K35" s="46">
        <v>0.63541666666666663</v>
      </c>
      <c r="L35" s="45">
        <v>40</v>
      </c>
      <c r="M35" s="45">
        <v>0.3</v>
      </c>
      <c r="N35" s="43">
        <f t="shared" si="0"/>
        <v>125.7</v>
      </c>
      <c r="O35" s="77">
        <f>ImpliedCallVolatility(F35,G35,((D35)/365),B35,I35,C35)</f>
        <v>0.13988494873046875</v>
      </c>
      <c r="P35" s="77">
        <f>ImpliedPutVolatility(F35,H35,((D35)/365),B35,J35,C35)</f>
        <v>0.17642974853515625</v>
      </c>
      <c r="Q35" t="str">
        <f t="shared" si="1"/>
        <v>Buy</v>
      </c>
      <c r="R35">
        <f t="shared" si="2"/>
        <v>116.19999999999999</v>
      </c>
      <c r="S35">
        <f t="shared" si="3"/>
        <v>24980.2</v>
      </c>
      <c r="T35">
        <f t="shared" si="4"/>
        <v>24747.8</v>
      </c>
      <c r="U35" s="36">
        <v>0.63541666666666663</v>
      </c>
      <c r="V35">
        <v>24974</v>
      </c>
      <c r="AB35">
        <v>24863</v>
      </c>
      <c r="AC35">
        <v>24974</v>
      </c>
      <c r="AE35">
        <f t="shared" si="5"/>
        <v>111</v>
      </c>
      <c r="AF35">
        <f t="shared" si="6"/>
        <v>1051</v>
      </c>
      <c r="AI35">
        <f t="shared" si="11"/>
        <v>251400</v>
      </c>
      <c r="AJ35">
        <f t="shared" si="12"/>
        <v>22200</v>
      </c>
      <c r="AL35">
        <f t="shared" si="13"/>
        <v>273600</v>
      </c>
      <c r="AM35">
        <f t="shared" si="14"/>
        <v>966300</v>
      </c>
    </row>
    <row r="36" spans="1:40">
      <c r="A36" s="41"/>
      <c r="B36" s="63">
        <v>0.1</v>
      </c>
      <c r="C36" s="63">
        <v>0</v>
      </c>
      <c r="D36" s="64">
        <v>5</v>
      </c>
      <c r="E36" s="42">
        <v>43154</v>
      </c>
      <c r="F36" s="41">
        <v>25115</v>
      </c>
      <c r="G36" s="41">
        <v>25100</v>
      </c>
      <c r="H36" s="41">
        <v>25100</v>
      </c>
      <c r="I36" s="45">
        <v>192</v>
      </c>
      <c r="J36" s="45">
        <v>170</v>
      </c>
      <c r="K36" s="46">
        <v>0.63541666666666663</v>
      </c>
      <c r="L36" s="45">
        <v>286</v>
      </c>
      <c r="M36" s="45">
        <v>89</v>
      </c>
      <c r="N36" s="43">
        <f t="shared" si="0"/>
        <v>-13</v>
      </c>
      <c r="O36" s="77">
        <f>ImpliedCallVolatility(F36,G36,((D36)/365),B36,I36,C36)</f>
        <v>0.14179229736328125</v>
      </c>
      <c r="P36" s="77">
        <f>ImpliedPutVolatility(F36,H36,((D36)/365),B36,J36,C36)</f>
        <v>0.16529083251953125</v>
      </c>
      <c r="Q36" t="str">
        <f t="shared" si="1"/>
        <v>Buy</v>
      </c>
      <c r="R36">
        <f t="shared" si="2"/>
        <v>253.39999999999998</v>
      </c>
      <c r="S36">
        <f t="shared" si="3"/>
        <v>25368.400000000001</v>
      </c>
      <c r="T36">
        <f t="shared" si="4"/>
        <v>24861.599999999999</v>
      </c>
      <c r="U36" s="36">
        <v>0.625</v>
      </c>
      <c r="V36">
        <v>25317</v>
      </c>
      <c r="AB36">
        <v>25115</v>
      </c>
      <c r="AC36">
        <v>25287</v>
      </c>
      <c r="AE36">
        <f t="shared" si="5"/>
        <v>172</v>
      </c>
      <c r="AF36">
        <f t="shared" si="6"/>
        <v>1223</v>
      </c>
      <c r="AI36">
        <f t="shared" si="11"/>
        <v>-26000</v>
      </c>
      <c r="AJ36">
        <f t="shared" si="12"/>
        <v>34400</v>
      </c>
      <c r="AL36">
        <f t="shared" si="13"/>
        <v>8400</v>
      </c>
      <c r="AM36">
        <f t="shared" si="14"/>
        <v>974700</v>
      </c>
    </row>
    <row r="37" spans="1:40">
      <c r="A37" s="41"/>
      <c r="B37" s="63">
        <v>0.1</v>
      </c>
      <c r="C37" s="63">
        <v>0</v>
      </c>
      <c r="D37" s="64">
        <v>4</v>
      </c>
      <c r="E37" s="44">
        <v>43157</v>
      </c>
      <c r="F37" s="41">
        <v>25455</v>
      </c>
      <c r="G37" s="41">
        <v>25500</v>
      </c>
      <c r="H37" s="41">
        <v>25500</v>
      </c>
      <c r="I37" s="45">
        <v>129</v>
      </c>
      <c r="J37" s="45">
        <v>167</v>
      </c>
      <c r="K37" s="46">
        <v>0.58333333333333337</v>
      </c>
      <c r="L37" s="45">
        <v>275</v>
      </c>
      <c r="M37" s="45">
        <v>67</v>
      </c>
      <c r="N37" s="43">
        <f t="shared" si="0"/>
        <v>-46</v>
      </c>
      <c r="O37" s="77">
        <f>ImpliedCallVolatility(F37,G37,((D37)/365),B37,I37,C37)</f>
        <v>0.12920379638671875</v>
      </c>
      <c r="P37" s="77">
        <f>ImpliedPutVolatility(F37,H37,((D37)/365),B37,J37,C37)</f>
        <v>0.14888763427734375</v>
      </c>
      <c r="Q37" t="str">
        <f t="shared" si="1"/>
        <v>Buy</v>
      </c>
      <c r="R37">
        <f t="shared" si="2"/>
        <v>207.2</v>
      </c>
      <c r="S37">
        <f t="shared" si="3"/>
        <v>25662.2</v>
      </c>
      <c r="T37">
        <f t="shared" si="4"/>
        <v>25247.8</v>
      </c>
      <c r="U37" s="36">
        <v>0.57291666666666663</v>
      </c>
      <c r="V37">
        <v>25678</v>
      </c>
      <c r="AB37">
        <v>25454</v>
      </c>
      <c r="AC37">
        <v>25695</v>
      </c>
      <c r="AE37">
        <f t="shared" si="5"/>
        <v>241</v>
      </c>
      <c r="AF37">
        <f t="shared" si="6"/>
        <v>1464</v>
      </c>
      <c r="AI37">
        <f t="shared" si="11"/>
        <v>-92000</v>
      </c>
      <c r="AJ37">
        <f t="shared" si="12"/>
        <v>48200</v>
      </c>
      <c r="AL37">
        <f t="shared" si="13"/>
        <v>-43800</v>
      </c>
      <c r="AM37">
        <f t="shared" si="14"/>
        <v>930900</v>
      </c>
    </row>
    <row r="38" spans="1:40">
      <c r="A38" s="41"/>
      <c r="B38" s="63">
        <v>0.1</v>
      </c>
      <c r="C38" s="63">
        <v>0</v>
      </c>
      <c r="D38" s="64">
        <v>3</v>
      </c>
      <c r="E38" s="44">
        <v>43158</v>
      </c>
      <c r="F38" s="41">
        <v>25675</v>
      </c>
      <c r="G38" s="41">
        <v>25700</v>
      </c>
      <c r="H38" s="41">
        <v>25700</v>
      </c>
      <c r="I38" s="45">
        <v>123</v>
      </c>
      <c r="J38" s="45">
        <v>138</v>
      </c>
      <c r="K38" s="46">
        <v>0.39583333333333331</v>
      </c>
      <c r="L38" s="45">
        <v>70</v>
      </c>
      <c r="M38" s="45">
        <v>229</v>
      </c>
      <c r="N38" s="43">
        <f t="shared" si="0"/>
        <v>-38</v>
      </c>
      <c r="O38" s="77">
        <f>ImpliedCallVolatility(F38,G38,((D38)/365),B38,I38,C38)</f>
        <v>0.13454437255859375</v>
      </c>
      <c r="P38" s="77">
        <f>ImpliedPutVolatility(F38,H38,((D38)/365),B38,J38,C38)</f>
        <v>0.14652252197265625</v>
      </c>
      <c r="Q38" t="str">
        <f t="shared" si="1"/>
        <v>Buy</v>
      </c>
      <c r="R38">
        <f t="shared" si="2"/>
        <v>182.7</v>
      </c>
      <c r="S38">
        <f t="shared" si="3"/>
        <v>25857.7</v>
      </c>
      <c r="T38">
        <f t="shared" si="4"/>
        <v>25492.3</v>
      </c>
      <c r="U38" s="36">
        <v>0.42708333333333331</v>
      </c>
      <c r="V38">
        <v>25452</v>
      </c>
      <c r="AB38">
        <v>25675</v>
      </c>
      <c r="AC38">
        <v>25575</v>
      </c>
      <c r="AE38">
        <f t="shared" si="5"/>
        <v>-100</v>
      </c>
      <c r="AF38">
        <f t="shared" si="6"/>
        <v>1364</v>
      </c>
      <c r="AI38">
        <f t="shared" si="11"/>
        <v>-76000</v>
      </c>
      <c r="AJ38">
        <f t="shared" si="12"/>
        <v>-20000</v>
      </c>
      <c r="AL38">
        <f t="shared" si="13"/>
        <v>-96000</v>
      </c>
      <c r="AM38">
        <f t="shared" si="14"/>
        <v>834900</v>
      </c>
    </row>
    <row r="39" spans="1:40" ht="13.5" thickBot="1">
      <c r="A39" s="41" t="s">
        <v>57</v>
      </c>
      <c r="B39" s="63">
        <v>0.1</v>
      </c>
      <c r="C39" s="63">
        <v>0</v>
      </c>
      <c r="D39" s="64">
        <v>2</v>
      </c>
      <c r="E39" s="44">
        <v>43159</v>
      </c>
      <c r="F39" s="41">
        <v>25020</v>
      </c>
      <c r="G39" s="41">
        <v>25000</v>
      </c>
      <c r="H39" s="41">
        <v>25000</v>
      </c>
      <c r="I39" s="45">
        <v>139</v>
      </c>
      <c r="J39" s="45">
        <v>111</v>
      </c>
      <c r="K39" s="46">
        <v>0.625</v>
      </c>
      <c r="L39" s="45">
        <v>215</v>
      </c>
      <c r="M39" s="45">
        <v>37</v>
      </c>
      <c r="N39" s="43">
        <f t="shared" si="0"/>
        <v>-2</v>
      </c>
      <c r="O39" s="77">
        <f>ImpliedCallVolatility(F39,G39,((D39)/365),B39,I39,C39)</f>
        <v>0.16445159912109375</v>
      </c>
      <c r="P39" s="77">
        <f>ImpliedPutVolatility(F39,H39,((D39)/365),B39,J39,C39)</f>
        <v>0.17215728759765625</v>
      </c>
      <c r="Q39" t="str">
        <f t="shared" si="1"/>
        <v>Buy</v>
      </c>
      <c r="R39">
        <f t="shared" si="2"/>
        <v>175</v>
      </c>
      <c r="S39">
        <f t="shared" si="3"/>
        <v>25195</v>
      </c>
      <c r="T39">
        <f t="shared" si="4"/>
        <v>24845</v>
      </c>
      <c r="U39" s="36">
        <v>0.63541666666666663</v>
      </c>
      <c r="V39">
        <v>25113</v>
      </c>
      <c r="X39" t="s">
        <v>67</v>
      </c>
      <c r="Y39" s="72">
        <f>SUM(N21:N39)</f>
        <v>196.39999999999998</v>
      </c>
      <c r="AB39">
        <v>25020</v>
      </c>
      <c r="AC39">
        <v>25113</v>
      </c>
      <c r="AE39">
        <f t="shared" si="5"/>
        <v>93</v>
      </c>
      <c r="AF39">
        <f t="shared" si="6"/>
        <v>1457</v>
      </c>
      <c r="AG39">
        <f>SUM(AE21:AE39)</f>
        <v>1198</v>
      </c>
      <c r="AI39">
        <f t="shared" si="11"/>
        <v>-4000</v>
      </c>
      <c r="AJ39">
        <f t="shared" si="12"/>
        <v>18600</v>
      </c>
      <c r="AL39">
        <f t="shared" si="13"/>
        <v>14600</v>
      </c>
      <c r="AM39">
        <f t="shared" si="14"/>
        <v>849500</v>
      </c>
      <c r="AN39">
        <f>AM39-AM20</f>
        <v>632400</v>
      </c>
    </row>
    <row r="40" spans="1:40" ht="13.5" thickBot="1">
      <c r="A40" s="41" t="s">
        <v>58</v>
      </c>
      <c r="B40" s="63">
        <v>0.1</v>
      </c>
      <c r="C40" s="63">
        <v>0</v>
      </c>
      <c r="D40" s="64">
        <v>1</v>
      </c>
      <c r="E40" s="47">
        <v>43160</v>
      </c>
      <c r="F40" s="41">
        <v>25190</v>
      </c>
      <c r="G40" s="41">
        <v>25200</v>
      </c>
      <c r="H40" s="41">
        <v>25200</v>
      </c>
      <c r="I40" s="45">
        <v>61</v>
      </c>
      <c r="J40" s="45">
        <v>74</v>
      </c>
      <c r="K40" s="46">
        <v>0.41666666666666669</v>
      </c>
      <c r="L40" s="45">
        <v>36</v>
      </c>
      <c r="M40" s="45">
        <v>102</v>
      </c>
      <c r="N40" s="43">
        <f t="shared" si="0"/>
        <v>-3</v>
      </c>
      <c r="O40" s="77">
        <f>ImpliedCallVolatility(F40,G40,((D40)/365),B40,I40,C40)</f>
        <v>0.11890411376953125</v>
      </c>
      <c r="P40" s="77">
        <f>ImpliedPutVolatility(F40,H40,((D40)/365),B40,J40,C40)</f>
        <v>0.13767242431640625</v>
      </c>
      <c r="Q40" t="str">
        <f t="shared" si="1"/>
        <v>Buy</v>
      </c>
      <c r="R40">
        <f t="shared" si="2"/>
        <v>94.5</v>
      </c>
      <c r="S40">
        <f t="shared" si="3"/>
        <v>25284.5</v>
      </c>
      <c r="T40">
        <f t="shared" si="4"/>
        <v>25095.5</v>
      </c>
      <c r="U40" s="36">
        <v>0.61458333333333337</v>
      </c>
      <c r="V40">
        <v>24986</v>
      </c>
      <c r="AB40">
        <v>25190</v>
      </c>
      <c r="AC40">
        <v>24986</v>
      </c>
      <c r="AE40">
        <f>AC40-AB40</f>
        <v>-204</v>
      </c>
      <c r="AF40">
        <f t="shared" si="6"/>
        <v>1253</v>
      </c>
      <c r="AI40">
        <f t="shared" si="11"/>
        <v>-6000</v>
      </c>
      <c r="AJ40">
        <f t="shared" si="12"/>
        <v>-40800</v>
      </c>
      <c r="AL40">
        <f t="shared" si="13"/>
        <v>-46800</v>
      </c>
      <c r="AM40">
        <f t="shared" si="14"/>
        <v>802700</v>
      </c>
    </row>
    <row r="41" spans="1:40">
      <c r="A41" s="41"/>
      <c r="B41" s="63">
        <v>0.1</v>
      </c>
      <c r="C41" s="63">
        <v>0</v>
      </c>
      <c r="D41" s="64">
        <v>4</v>
      </c>
      <c r="E41" s="42">
        <v>43164</v>
      </c>
      <c r="F41" s="41">
        <v>24752</v>
      </c>
      <c r="G41" s="41">
        <v>24800</v>
      </c>
      <c r="H41" s="41">
        <v>24800</v>
      </c>
      <c r="I41" s="45">
        <v>179</v>
      </c>
      <c r="J41" s="45">
        <v>244</v>
      </c>
      <c r="K41" s="46">
        <v>0.63541666666666663</v>
      </c>
      <c r="L41" s="45">
        <v>215</v>
      </c>
      <c r="M41" s="45">
        <v>176</v>
      </c>
      <c r="N41" s="43">
        <f t="shared" si="0"/>
        <v>32</v>
      </c>
      <c r="O41" s="77">
        <f>ImpliedCallVolatility(F41,G41,((D41)/365),B41,I41,C41)</f>
        <v>0.18299102783203125</v>
      </c>
      <c r="P41" s="77">
        <f>ImpliedPutVolatility(F41,H41,((D41)/365),B41,J41,C41)</f>
        <v>0.22571563720703125</v>
      </c>
      <c r="Q41" t="str">
        <f t="shared" si="1"/>
        <v>Buy</v>
      </c>
      <c r="R41">
        <f t="shared" si="2"/>
        <v>296.09999999999997</v>
      </c>
      <c r="S41">
        <f t="shared" si="3"/>
        <v>25048.1</v>
      </c>
      <c r="T41">
        <f t="shared" si="4"/>
        <v>24455.9</v>
      </c>
      <c r="U41" s="36">
        <v>0.63541666666666663</v>
      </c>
      <c r="V41">
        <v>24821</v>
      </c>
      <c r="AB41">
        <v>24752</v>
      </c>
      <c r="AC41">
        <v>24797</v>
      </c>
      <c r="AE41">
        <f>AC41-AB41</f>
        <v>45</v>
      </c>
      <c r="AF41">
        <f t="shared" si="6"/>
        <v>1298</v>
      </c>
      <c r="AI41">
        <f t="shared" si="11"/>
        <v>64000</v>
      </c>
      <c r="AJ41">
        <f t="shared" si="12"/>
        <v>9000</v>
      </c>
      <c r="AL41">
        <f t="shared" si="13"/>
        <v>73000</v>
      </c>
      <c r="AM41">
        <f t="shared" si="14"/>
        <v>875700</v>
      </c>
    </row>
    <row r="42" spans="1:40">
      <c r="A42" s="41"/>
      <c r="B42" s="63">
        <v>0.1</v>
      </c>
      <c r="C42" s="63">
        <v>0</v>
      </c>
      <c r="D42" s="64">
        <v>3</v>
      </c>
      <c r="E42" s="44">
        <v>43165</v>
      </c>
      <c r="F42" s="41">
        <v>25018</v>
      </c>
      <c r="G42" s="41">
        <v>25000</v>
      </c>
      <c r="H42" s="41">
        <v>25000</v>
      </c>
      <c r="I42" s="45">
        <v>179</v>
      </c>
      <c r="J42" s="45">
        <v>138</v>
      </c>
      <c r="K42" s="46">
        <v>0.48958333333333331</v>
      </c>
      <c r="L42" s="45">
        <v>101</v>
      </c>
      <c r="M42" s="45">
        <v>270</v>
      </c>
      <c r="N42" s="43">
        <f t="shared" si="0"/>
        <v>-54</v>
      </c>
      <c r="O42" s="77">
        <f>ImpliedCallVolatility(F42,G42,((D42)/365),B42,I42,C42)</f>
        <v>0.17581939697265625</v>
      </c>
      <c r="P42" s="77">
        <f>ImpliedPutVolatility(F42,H42,((D42)/365),B42,J42,C42)</f>
        <v>0.17307281494140625</v>
      </c>
      <c r="Q42" t="str">
        <f t="shared" si="1"/>
        <v>Sell</v>
      </c>
      <c r="R42">
        <f t="shared" si="2"/>
        <v>221.89999999999998</v>
      </c>
      <c r="S42">
        <f t="shared" si="3"/>
        <v>25239.9</v>
      </c>
      <c r="T42">
        <f t="shared" si="4"/>
        <v>24796.1</v>
      </c>
      <c r="U42" s="36">
        <v>0.48958333333333331</v>
      </c>
      <c r="V42">
        <v>24767</v>
      </c>
      <c r="AB42">
        <v>24543</v>
      </c>
      <c r="AC42">
        <v>25018</v>
      </c>
      <c r="AE42">
        <f>AC42-AB42</f>
        <v>475</v>
      </c>
      <c r="AF42">
        <f t="shared" si="6"/>
        <v>1773</v>
      </c>
      <c r="AI42">
        <f t="shared" si="11"/>
        <v>-108000</v>
      </c>
      <c r="AJ42">
        <f t="shared" si="12"/>
        <v>95000</v>
      </c>
      <c r="AL42">
        <f t="shared" si="13"/>
        <v>-13000</v>
      </c>
      <c r="AM42">
        <f t="shared" si="14"/>
        <v>862700</v>
      </c>
    </row>
    <row r="43" spans="1:40" ht="13.5" thickBot="1">
      <c r="A43" s="41" t="s">
        <v>57</v>
      </c>
      <c r="B43" s="63">
        <v>0.1</v>
      </c>
      <c r="C43" s="63">
        <v>0</v>
      </c>
      <c r="D43" s="64">
        <v>2</v>
      </c>
      <c r="E43" s="44">
        <v>43166</v>
      </c>
      <c r="F43" s="41">
        <v>24300</v>
      </c>
      <c r="G43" s="41">
        <v>24300</v>
      </c>
      <c r="H43" s="41">
        <v>24300</v>
      </c>
      <c r="I43" s="45">
        <v>165</v>
      </c>
      <c r="J43" s="45">
        <v>137</v>
      </c>
      <c r="K43" s="46">
        <v>0.63541666666666663</v>
      </c>
      <c r="L43" s="45">
        <v>46</v>
      </c>
      <c r="M43" s="45">
        <v>191</v>
      </c>
      <c r="N43" s="43">
        <f t="shared" si="0"/>
        <v>65</v>
      </c>
      <c r="O43" s="77">
        <f>ImpliedCallVolatility(F43,G43,((D43)/365),B43,I43,C43)</f>
        <v>0.22060394287109375</v>
      </c>
      <c r="P43" s="77">
        <f>ImpliedPutVolatility(F43,H43,((D43)/365),B43,J43,C43)</f>
        <v>0.20008087158203125</v>
      </c>
      <c r="Q43" t="str">
        <f t="shared" si="1"/>
        <v>Sell</v>
      </c>
      <c r="R43">
        <f t="shared" si="2"/>
        <v>211.39999999999998</v>
      </c>
      <c r="S43">
        <f t="shared" si="3"/>
        <v>24511.4</v>
      </c>
      <c r="T43">
        <f t="shared" si="4"/>
        <v>24088.6</v>
      </c>
      <c r="U43" s="36">
        <v>0.59375</v>
      </c>
      <c r="V43">
        <v>24097</v>
      </c>
      <c r="AB43">
        <v>24150</v>
      </c>
      <c r="AC43">
        <v>24300</v>
      </c>
      <c r="AE43">
        <f t="shared" ref="AE43:AE266" si="15">AC43-AB43</f>
        <v>150</v>
      </c>
      <c r="AF43">
        <f t="shared" si="6"/>
        <v>1923</v>
      </c>
      <c r="AI43">
        <f t="shared" si="11"/>
        <v>130000</v>
      </c>
      <c r="AJ43">
        <f t="shared" si="12"/>
        <v>30000</v>
      </c>
      <c r="AL43">
        <f t="shared" si="13"/>
        <v>160000</v>
      </c>
      <c r="AM43">
        <f t="shared" si="14"/>
        <v>1022700</v>
      </c>
    </row>
    <row r="44" spans="1:40" ht="13.5" thickBot="1">
      <c r="A44" s="41" t="s">
        <v>58</v>
      </c>
      <c r="B44" s="63">
        <v>0.1</v>
      </c>
      <c r="C44" s="63">
        <v>0</v>
      </c>
      <c r="D44" s="64">
        <v>1</v>
      </c>
      <c r="E44" s="47">
        <v>43167</v>
      </c>
      <c r="F44" s="41">
        <v>24295</v>
      </c>
      <c r="G44" s="41">
        <v>24300</v>
      </c>
      <c r="H44" s="41">
        <v>24300</v>
      </c>
      <c r="I44" s="45">
        <v>67</v>
      </c>
      <c r="J44" s="45">
        <v>76</v>
      </c>
      <c r="K44" s="46">
        <v>0.4375</v>
      </c>
      <c r="L44" s="45">
        <v>12</v>
      </c>
      <c r="M44" s="45">
        <v>154</v>
      </c>
      <c r="N44" s="43">
        <f t="shared" si="0"/>
        <v>-23</v>
      </c>
      <c r="O44" s="77">
        <f>ImpliedCallVolatility(F44,G44,((D44)/365),B44,I44,C44)</f>
        <v>0.13042449951171875</v>
      </c>
      <c r="P44" s="77">
        <f>ImpliedPutVolatility(F44,H44,((D44)/365),B44,J44,C44)</f>
        <v>0.15140533447265625</v>
      </c>
      <c r="Q44" t="str">
        <f t="shared" si="1"/>
        <v>Buy</v>
      </c>
      <c r="R44">
        <f t="shared" si="2"/>
        <v>100.1</v>
      </c>
      <c r="S44">
        <f t="shared" si="3"/>
        <v>24395.1</v>
      </c>
      <c r="T44">
        <f t="shared" si="4"/>
        <v>24194.9</v>
      </c>
      <c r="U44" s="36">
        <v>0.4375</v>
      </c>
      <c r="V44">
        <v>24067</v>
      </c>
      <c r="AB44">
        <v>24295</v>
      </c>
      <c r="AC44">
        <v>24095</v>
      </c>
      <c r="AE44">
        <f t="shared" si="15"/>
        <v>-200</v>
      </c>
      <c r="AF44">
        <f t="shared" si="6"/>
        <v>1723</v>
      </c>
      <c r="AI44">
        <f t="shared" si="11"/>
        <v>-46000</v>
      </c>
      <c r="AJ44">
        <f t="shared" si="12"/>
        <v>-40000</v>
      </c>
      <c r="AL44">
        <f t="shared" si="13"/>
        <v>-86000</v>
      </c>
      <c r="AM44">
        <f t="shared" si="14"/>
        <v>936700</v>
      </c>
    </row>
    <row r="45" spans="1:40">
      <c r="A45" s="41"/>
      <c r="B45" s="63">
        <v>0.1</v>
      </c>
      <c r="C45" s="63">
        <v>0</v>
      </c>
      <c r="D45" s="64">
        <v>5</v>
      </c>
      <c r="E45" s="42">
        <v>43168</v>
      </c>
      <c r="F45" s="41">
        <v>24395</v>
      </c>
      <c r="G45" s="41">
        <v>24400</v>
      </c>
      <c r="H45" s="41">
        <v>24400</v>
      </c>
      <c r="I45" s="45">
        <v>236</v>
      </c>
      <c r="J45" s="45">
        <v>239</v>
      </c>
      <c r="K45" s="46">
        <v>0.63541666666666663</v>
      </c>
      <c r="L45" s="45">
        <v>165</v>
      </c>
      <c r="M45" s="45">
        <v>297</v>
      </c>
      <c r="N45" s="43">
        <f t="shared" si="0"/>
        <v>13</v>
      </c>
      <c r="O45" s="77">
        <f>ImpliedCallVolatility(F45,G45,((D45)/365),B45,I45,C45)</f>
        <v>0.19458770751953125</v>
      </c>
      <c r="P45" s="77">
        <f>ImpliedPutVolatility(F45,H45,((D45)/365),B45,J45,C45)</f>
        <v>0.22220611572265625</v>
      </c>
      <c r="Q45" t="str">
        <f t="shared" si="1"/>
        <v>Buy</v>
      </c>
      <c r="R45">
        <f t="shared" si="2"/>
        <v>332.5</v>
      </c>
      <c r="S45">
        <f t="shared" si="3"/>
        <v>24727.5</v>
      </c>
      <c r="T45">
        <f t="shared" si="4"/>
        <v>24062.5</v>
      </c>
      <c r="U45" s="36">
        <v>0.63541666666666663</v>
      </c>
      <c r="V45">
        <v>24285</v>
      </c>
      <c r="AB45">
        <v>24394</v>
      </c>
      <c r="AC45">
        <v>24309</v>
      </c>
      <c r="AE45">
        <f t="shared" si="15"/>
        <v>-85</v>
      </c>
      <c r="AF45">
        <f t="shared" si="6"/>
        <v>1638</v>
      </c>
      <c r="AI45">
        <f t="shared" si="11"/>
        <v>26000</v>
      </c>
      <c r="AJ45">
        <f t="shared" si="12"/>
        <v>-17000</v>
      </c>
      <c r="AL45">
        <f t="shared" si="13"/>
        <v>9000</v>
      </c>
      <c r="AM45">
        <f t="shared" si="14"/>
        <v>945700</v>
      </c>
    </row>
    <row r="46" spans="1:40">
      <c r="A46" s="41"/>
      <c r="B46" s="63">
        <v>0.1</v>
      </c>
      <c r="C46" s="63">
        <v>0</v>
      </c>
      <c r="D46" s="64">
        <v>4</v>
      </c>
      <c r="E46" s="44">
        <v>43171</v>
      </c>
      <c r="F46" s="41">
        <v>24412</v>
      </c>
      <c r="G46" s="41">
        <v>24400</v>
      </c>
      <c r="H46" s="41">
        <v>24400</v>
      </c>
      <c r="I46" s="45">
        <v>233</v>
      </c>
      <c r="J46" s="45">
        <v>207</v>
      </c>
      <c r="K46" s="46">
        <v>0.63541666666666663</v>
      </c>
      <c r="L46" s="45">
        <v>401</v>
      </c>
      <c r="M46" s="45">
        <v>86</v>
      </c>
      <c r="N46" s="43">
        <f t="shared" si="0"/>
        <v>-47</v>
      </c>
      <c r="O46" s="77">
        <f>ImpliedCallVolatility(F46,G46,((D46)/365),B46,I46,C46)</f>
        <v>0.20915985107421875</v>
      </c>
      <c r="P46" s="77">
        <f>ImpliedPutVolatility(F46,H46,((D46)/365),B46,J46,C46)</f>
        <v>0.22167205810546875</v>
      </c>
      <c r="Q46" t="str">
        <f t="shared" si="1"/>
        <v>Buy</v>
      </c>
      <c r="R46">
        <f t="shared" si="2"/>
        <v>308</v>
      </c>
      <c r="S46">
        <f t="shared" si="3"/>
        <v>24720</v>
      </c>
      <c r="T46">
        <f t="shared" si="4"/>
        <v>24104</v>
      </c>
      <c r="U46" s="36">
        <v>0.63541666666666663</v>
      </c>
      <c r="V46">
        <v>24711</v>
      </c>
      <c r="AB46">
        <v>24411</v>
      </c>
      <c r="AC46">
        <v>24606</v>
      </c>
      <c r="AE46">
        <f t="shared" si="15"/>
        <v>195</v>
      </c>
      <c r="AF46">
        <f t="shared" si="6"/>
        <v>1833</v>
      </c>
      <c r="AI46">
        <f t="shared" si="11"/>
        <v>-94000</v>
      </c>
      <c r="AJ46">
        <f t="shared" si="12"/>
        <v>39000</v>
      </c>
      <c r="AL46">
        <f t="shared" si="13"/>
        <v>-55000</v>
      </c>
      <c r="AM46">
        <f t="shared" si="14"/>
        <v>890700</v>
      </c>
    </row>
    <row r="47" spans="1:40">
      <c r="A47" s="41"/>
      <c r="B47" s="63">
        <v>0.1</v>
      </c>
      <c r="C47" s="63">
        <v>0</v>
      </c>
      <c r="D47" s="64">
        <v>3</v>
      </c>
      <c r="E47" s="44">
        <v>43172</v>
      </c>
      <c r="F47" s="41">
        <v>24808</v>
      </c>
      <c r="G47" s="41">
        <v>24800</v>
      </c>
      <c r="H47" s="41">
        <v>24800</v>
      </c>
      <c r="I47" s="45">
        <v>190</v>
      </c>
      <c r="J47" s="45">
        <v>165</v>
      </c>
      <c r="K47" s="46">
        <v>0.63541666666666663</v>
      </c>
      <c r="L47" s="45">
        <v>104</v>
      </c>
      <c r="M47" s="45">
        <v>212</v>
      </c>
      <c r="N47" s="43">
        <f t="shared" si="0"/>
        <v>39</v>
      </c>
      <c r="O47" s="77">
        <f>ImpliedCallVolatility(F47,G47,((D47)/365),B47,I47,C47)</f>
        <v>0.19565582275390625</v>
      </c>
      <c r="P47" s="77">
        <f>ImpliedPutVolatility(F47,H47,((D47)/365),B47,J47,C47)</f>
        <v>0.19939422607421875</v>
      </c>
      <c r="Q47" t="str">
        <f t="shared" si="1"/>
        <v>Buy</v>
      </c>
      <c r="R47">
        <f t="shared" si="2"/>
        <v>248.49999999999997</v>
      </c>
      <c r="S47">
        <f t="shared" si="3"/>
        <v>25056.5</v>
      </c>
      <c r="T47">
        <f t="shared" si="4"/>
        <v>24559.5</v>
      </c>
      <c r="U47" s="36">
        <v>0.54166666666666663</v>
      </c>
      <c r="V47">
        <v>25010</v>
      </c>
      <c r="AB47">
        <v>24807</v>
      </c>
      <c r="AC47">
        <v>24805</v>
      </c>
      <c r="AE47">
        <f t="shared" si="15"/>
        <v>-2</v>
      </c>
      <c r="AF47">
        <f t="shared" si="6"/>
        <v>1831</v>
      </c>
      <c r="AI47">
        <f t="shared" si="11"/>
        <v>78000</v>
      </c>
      <c r="AJ47">
        <f t="shared" si="12"/>
        <v>-400</v>
      </c>
      <c r="AL47">
        <f t="shared" si="13"/>
        <v>77600</v>
      </c>
      <c r="AM47">
        <f t="shared" si="14"/>
        <v>968300</v>
      </c>
    </row>
    <row r="48" spans="1:40" ht="13.5" thickBot="1">
      <c r="A48" s="41" t="s">
        <v>57</v>
      </c>
      <c r="B48" s="63">
        <v>0.1</v>
      </c>
      <c r="C48" s="63">
        <v>0</v>
      </c>
      <c r="D48" s="64">
        <v>2</v>
      </c>
      <c r="E48" s="44">
        <v>43173</v>
      </c>
      <c r="F48" s="41">
        <v>24560</v>
      </c>
      <c r="G48" s="41">
        <v>24600</v>
      </c>
      <c r="H48" s="41">
        <v>24600</v>
      </c>
      <c r="I48" s="45">
        <v>148</v>
      </c>
      <c r="J48" s="45">
        <v>176</v>
      </c>
      <c r="K48" s="46">
        <v>0.63541666666666663</v>
      </c>
      <c r="L48" s="45">
        <v>280</v>
      </c>
      <c r="M48" s="45">
        <v>31</v>
      </c>
      <c r="N48" s="43">
        <f t="shared" si="0"/>
        <v>13</v>
      </c>
      <c r="O48" s="77">
        <f>ImpliedCallVolatility(F48,G48,((D48)/365),B48,I48,C48)</f>
        <v>0.22174835205078125</v>
      </c>
      <c r="P48" s="77">
        <f>ImpliedPutVolatility(F48,H48,((D48)/365),B48,J48,C48)</f>
        <v>0.22380828857421875</v>
      </c>
      <c r="Q48" t="str">
        <f t="shared" si="1"/>
        <v>Buy</v>
      </c>
      <c r="R48">
        <f t="shared" si="2"/>
        <v>226.79999999999998</v>
      </c>
      <c r="S48">
        <f t="shared" si="3"/>
        <v>24786.799999999999</v>
      </c>
      <c r="T48">
        <f t="shared" si="4"/>
        <v>24333.200000000001</v>
      </c>
      <c r="U48" s="36">
        <v>0.61458333333333337</v>
      </c>
      <c r="V48">
        <v>24831</v>
      </c>
      <c r="AB48">
        <v>24560</v>
      </c>
      <c r="AC48">
        <v>24828</v>
      </c>
      <c r="AE48">
        <f t="shared" si="15"/>
        <v>268</v>
      </c>
      <c r="AF48">
        <f t="shared" si="6"/>
        <v>2099</v>
      </c>
      <c r="AI48">
        <f t="shared" si="11"/>
        <v>26000</v>
      </c>
      <c r="AJ48">
        <f t="shared" si="12"/>
        <v>53600</v>
      </c>
      <c r="AL48">
        <f t="shared" si="13"/>
        <v>79600</v>
      </c>
      <c r="AM48">
        <f t="shared" si="14"/>
        <v>1047900</v>
      </c>
    </row>
    <row r="49" spans="1:40" ht="13.5" thickBot="1">
      <c r="A49" s="41" t="s">
        <v>58</v>
      </c>
      <c r="B49" s="63">
        <v>0.1</v>
      </c>
      <c r="C49" s="63">
        <v>0</v>
      </c>
      <c r="D49" s="64">
        <v>1</v>
      </c>
      <c r="E49" s="47">
        <v>43174</v>
      </c>
      <c r="F49" s="41">
        <v>24841</v>
      </c>
      <c r="G49" s="41">
        <v>24800</v>
      </c>
      <c r="H49" s="41">
        <v>24800</v>
      </c>
      <c r="I49" s="41">
        <v>129</v>
      </c>
      <c r="J49" s="41">
        <v>67</v>
      </c>
      <c r="K49" s="46">
        <v>0.63541666666666663</v>
      </c>
      <c r="L49" s="45">
        <v>17</v>
      </c>
      <c r="M49" s="45">
        <v>4</v>
      </c>
      <c r="N49" s="43">
        <f t="shared" si="0"/>
        <v>175</v>
      </c>
      <c r="O49" s="77">
        <f>ImpliedCallVolatility(F49,G49,((D49)/365),B49,I49,C49)</f>
        <v>0.19939422607421875</v>
      </c>
      <c r="P49" s="77">
        <f>ImpliedPutVolatility(F49,H49,((D49)/365),B49,J49,C49)</f>
        <v>0.17147064208984375</v>
      </c>
      <c r="Q49" t="str">
        <f t="shared" si="1"/>
        <v>Sell</v>
      </c>
      <c r="R49">
        <f t="shared" si="2"/>
        <v>137.19999999999999</v>
      </c>
      <c r="S49">
        <f t="shared" si="3"/>
        <v>24978.2</v>
      </c>
      <c r="T49">
        <f t="shared" si="4"/>
        <v>24703.8</v>
      </c>
      <c r="U49" s="36">
        <v>0.63541666666666663</v>
      </c>
      <c r="V49">
        <v>24807</v>
      </c>
      <c r="AB49">
        <v>24817</v>
      </c>
      <c r="AC49">
        <v>24841</v>
      </c>
      <c r="AE49">
        <f t="shared" si="15"/>
        <v>24</v>
      </c>
      <c r="AF49">
        <f t="shared" si="6"/>
        <v>2123</v>
      </c>
      <c r="AI49">
        <f t="shared" si="11"/>
        <v>350000</v>
      </c>
      <c r="AJ49">
        <f t="shared" si="12"/>
        <v>4800</v>
      </c>
      <c r="AL49">
        <f t="shared" si="13"/>
        <v>354800</v>
      </c>
      <c r="AM49">
        <f t="shared" si="14"/>
        <v>1402700</v>
      </c>
    </row>
    <row r="50" spans="1:40">
      <c r="A50" s="41"/>
      <c r="B50" s="63">
        <v>0.1</v>
      </c>
      <c r="C50" s="63">
        <v>0</v>
      </c>
      <c r="D50" s="64">
        <v>5</v>
      </c>
      <c r="E50" s="42">
        <v>43175</v>
      </c>
      <c r="F50" s="41">
        <v>24679</v>
      </c>
      <c r="G50" s="41">
        <v>24700</v>
      </c>
      <c r="H50" s="41">
        <v>24700</v>
      </c>
      <c r="I50" s="45">
        <v>235</v>
      </c>
      <c r="J50" s="45">
        <v>232</v>
      </c>
      <c r="K50" s="46">
        <v>0.63541666666666663</v>
      </c>
      <c r="L50" s="45">
        <v>164</v>
      </c>
      <c r="M50" s="45">
        <v>295</v>
      </c>
      <c r="N50" s="43">
        <f t="shared" si="0"/>
        <v>8</v>
      </c>
      <c r="O50" s="77">
        <f>ImpliedCallVolatility(F50,G50,((D50)/365),B50,I50,C50)</f>
        <v>0.19840240478515625</v>
      </c>
      <c r="P50" s="77">
        <f>ImpliedPutVolatility(F50,H50,((D50)/365),B50,J50,C50)</f>
        <v>0.20687103271484375</v>
      </c>
      <c r="Q50" t="str">
        <f t="shared" si="1"/>
        <v>Buy</v>
      </c>
      <c r="R50">
        <f t="shared" si="2"/>
        <v>326.89999999999998</v>
      </c>
      <c r="S50">
        <f t="shared" si="3"/>
        <v>25005.9</v>
      </c>
      <c r="T50">
        <f t="shared" si="4"/>
        <v>24352.1</v>
      </c>
      <c r="U50" s="36">
        <v>0.63541666666666663</v>
      </c>
      <c r="V50">
        <v>24443</v>
      </c>
      <c r="AB50">
        <v>24679</v>
      </c>
      <c r="AC50">
        <v>24541</v>
      </c>
      <c r="AE50">
        <f t="shared" si="15"/>
        <v>-138</v>
      </c>
      <c r="AF50">
        <f t="shared" si="6"/>
        <v>1985</v>
      </c>
      <c r="AI50">
        <f t="shared" si="11"/>
        <v>16000</v>
      </c>
      <c r="AJ50">
        <f t="shared" si="12"/>
        <v>-27600</v>
      </c>
      <c r="AL50">
        <f t="shared" si="13"/>
        <v>-11600</v>
      </c>
      <c r="AM50">
        <f t="shared" si="14"/>
        <v>1391100</v>
      </c>
    </row>
    <row r="51" spans="1:40">
      <c r="A51" s="41"/>
      <c r="B51" s="63">
        <v>0.1</v>
      </c>
      <c r="C51" s="63">
        <v>0</v>
      </c>
      <c r="D51" s="64">
        <v>4</v>
      </c>
      <c r="E51" s="44">
        <v>43178</v>
      </c>
      <c r="F51" s="41">
        <v>24485</v>
      </c>
      <c r="G51" s="41">
        <v>24500</v>
      </c>
      <c r="H51" s="41">
        <v>24500</v>
      </c>
      <c r="I51" s="45">
        <v>230</v>
      </c>
      <c r="J51" s="45">
        <v>218</v>
      </c>
      <c r="K51" s="46">
        <v>0.63541666666666663</v>
      </c>
      <c r="L51" s="45">
        <v>103</v>
      </c>
      <c r="M51" s="45">
        <v>296</v>
      </c>
      <c r="N51" s="43">
        <f t="shared" si="0"/>
        <v>49</v>
      </c>
      <c r="O51" s="77">
        <f>ImpliedCallVolatility(F51,G51,((D51)/365),B51,I51,C51)</f>
        <v>0.21915435791015625</v>
      </c>
      <c r="P51" s="77">
        <f>ImpliedPutVolatility(F51,H51,((D51)/365),B51,J51,C51)</f>
        <v>0.21900177001953125</v>
      </c>
      <c r="Q51" t="str">
        <f t="shared" si="1"/>
        <v>Sell</v>
      </c>
      <c r="R51">
        <f t="shared" si="2"/>
        <v>313.59999999999997</v>
      </c>
      <c r="S51">
        <f t="shared" si="3"/>
        <v>24798.6</v>
      </c>
      <c r="T51">
        <f t="shared" si="4"/>
        <v>24171.4</v>
      </c>
      <c r="U51" s="36">
        <v>0.53125</v>
      </c>
      <c r="V51">
        <v>24260</v>
      </c>
      <c r="AB51">
        <v>24191</v>
      </c>
      <c r="AC51">
        <v>24191</v>
      </c>
      <c r="AE51">
        <f t="shared" si="15"/>
        <v>0</v>
      </c>
      <c r="AF51">
        <f t="shared" si="6"/>
        <v>1985</v>
      </c>
      <c r="AI51">
        <f t="shared" si="11"/>
        <v>98000</v>
      </c>
      <c r="AJ51">
        <f t="shared" si="12"/>
        <v>0</v>
      </c>
      <c r="AL51">
        <f t="shared" si="13"/>
        <v>98000</v>
      </c>
      <c r="AM51">
        <f t="shared" si="14"/>
        <v>1489100</v>
      </c>
    </row>
    <row r="52" spans="1:40">
      <c r="A52" s="41"/>
      <c r="B52" s="63">
        <v>0.1</v>
      </c>
      <c r="C52" s="63">
        <v>0</v>
      </c>
      <c r="D52" s="64">
        <v>3</v>
      </c>
      <c r="E52" s="44">
        <v>43179</v>
      </c>
      <c r="F52" s="41">
        <v>24180</v>
      </c>
      <c r="G52" s="41">
        <v>24200</v>
      </c>
      <c r="H52" s="41">
        <v>24200</v>
      </c>
      <c r="I52" s="45">
        <v>212</v>
      </c>
      <c r="J52" s="45">
        <v>181</v>
      </c>
      <c r="K52" s="46">
        <v>0.63541666666666663</v>
      </c>
      <c r="L52" s="45">
        <v>142</v>
      </c>
      <c r="M52" s="45">
        <v>166</v>
      </c>
      <c r="N52" s="43">
        <f t="shared" si="0"/>
        <v>85</v>
      </c>
      <c r="O52" s="77">
        <f>ImpliedCallVolatility(F52,G52,((D52)/365),B52,I52,C52)</f>
        <v>0.24250030517578125</v>
      </c>
      <c r="P52" s="77">
        <f>ImpliedPutVolatility(F52,H52,((D52)/365),B52,J52,C52)</f>
        <v>0.20687103271484375</v>
      </c>
      <c r="Q52" t="str">
        <f t="shared" si="1"/>
        <v>Sell</v>
      </c>
      <c r="R52">
        <f t="shared" si="2"/>
        <v>275.09999999999997</v>
      </c>
      <c r="S52">
        <f t="shared" si="3"/>
        <v>24455.1</v>
      </c>
      <c r="T52">
        <f t="shared" si="4"/>
        <v>23904.9</v>
      </c>
      <c r="U52" s="36">
        <v>0.63541666666666663</v>
      </c>
      <c r="V52">
        <v>24150</v>
      </c>
      <c r="AB52">
        <v>24119</v>
      </c>
      <c r="AC52">
        <v>24180</v>
      </c>
      <c r="AE52">
        <f t="shared" si="15"/>
        <v>61</v>
      </c>
      <c r="AF52">
        <f t="shared" si="6"/>
        <v>2046</v>
      </c>
      <c r="AI52">
        <f t="shared" si="11"/>
        <v>170000</v>
      </c>
      <c r="AJ52">
        <f t="shared" si="12"/>
        <v>12200</v>
      </c>
      <c r="AL52">
        <f t="shared" si="13"/>
        <v>182200</v>
      </c>
      <c r="AM52">
        <f t="shared" si="14"/>
        <v>1671300</v>
      </c>
    </row>
    <row r="53" spans="1:40" ht="13.5" thickBot="1">
      <c r="A53" s="41" t="s">
        <v>57</v>
      </c>
      <c r="B53" s="63">
        <v>0.1</v>
      </c>
      <c r="C53" s="63">
        <v>0</v>
      </c>
      <c r="D53" s="64">
        <v>2</v>
      </c>
      <c r="E53" s="44">
        <v>43180</v>
      </c>
      <c r="F53" s="41">
        <v>24375</v>
      </c>
      <c r="G53" s="41">
        <v>24400</v>
      </c>
      <c r="H53" s="41">
        <v>24400</v>
      </c>
      <c r="I53" s="45">
        <v>128</v>
      </c>
      <c r="J53" s="45">
        <v>139</v>
      </c>
      <c r="K53" s="46">
        <v>0.63541666666666663</v>
      </c>
      <c r="L53" s="45">
        <v>64</v>
      </c>
      <c r="M53" s="45">
        <v>163</v>
      </c>
      <c r="N53" s="43">
        <f t="shared" si="0"/>
        <v>40</v>
      </c>
      <c r="O53" s="77">
        <f>ImpliedCallVolatility(F53,G53,((D53)/365),B53,I53,C53)</f>
        <v>0.18573760986328125</v>
      </c>
      <c r="P53" s="77">
        <f>ImpliedPutVolatility(F53,H53,((D53)/365),B53,J53,C53)</f>
        <v>0.18489837646484375</v>
      </c>
      <c r="Q53" t="str">
        <f t="shared" si="1"/>
        <v>Sell</v>
      </c>
      <c r="R53">
        <f t="shared" si="2"/>
        <v>186.89999999999998</v>
      </c>
      <c r="S53">
        <f t="shared" si="3"/>
        <v>24561.9</v>
      </c>
      <c r="T53">
        <f t="shared" si="4"/>
        <v>24188.1</v>
      </c>
      <c r="U53" s="36">
        <v>0.63541666666666663</v>
      </c>
      <c r="V53">
        <v>24270</v>
      </c>
      <c r="AB53">
        <v>24375</v>
      </c>
      <c r="AC53">
        <v>24279</v>
      </c>
      <c r="AE53">
        <f t="shared" si="15"/>
        <v>-96</v>
      </c>
      <c r="AF53">
        <f t="shared" si="6"/>
        <v>1950</v>
      </c>
      <c r="AI53">
        <f t="shared" si="11"/>
        <v>80000</v>
      </c>
      <c r="AJ53">
        <f t="shared" si="12"/>
        <v>-19200</v>
      </c>
      <c r="AL53">
        <f t="shared" si="13"/>
        <v>60800</v>
      </c>
      <c r="AM53">
        <f t="shared" si="14"/>
        <v>1732100</v>
      </c>
    </row>
    <row r="54" spans="1:40" ht="13.5" thickBot="1">
      <c r="A54" s="41" t="s">
        <v>58</v>
      </c>
      <c r="B54" s="63">
        <v>0.1</v>
      </c>
      <c r="C54" s="63">
        <v>0</v>
      </c>
      <c r="D54" s="64">
        <v>1</v>
      </c>
      <c r="E54" s="47">
        <v>43181</v>
      </c>
      <c r="F54" s="41">
        <v>24244</v>
      </c>
      <c r="G54" s="41">
        <v>24200</v>
      </c>
      <c r="H54" s="41">
        <v>24200</v>
      </c>
      <c r="I54" s="45">
        <v>119</v>
      </c>
      <c r="J54" s="45">
        <v>49</v>
      </c>
      <c r="K54" s="46">
        <v>0.63541666666666663</v>
      </c>
      <c r="L54" s="45">
        <v>0</v>
      </c>
      <c r="M54" s="45">
        <v>45</v>
      </c>
      <c r="N54" s="43">
        <f t="shared" si="0"/>
        <v>123</v>
      </c>
      <c r="O54" s="77">
        <f>ImpliedCallVolatility(F54,G54,((D54)/365),B54,I54,C54)</f>
        <v>0.18085479736328125</v>
      </c>
      <c r="P54" s="77">
        <f>ImpliedPutVolatility(F54,H54,((D54)/365),B54,J54,C54)</f>
        <v>0.14133453369140625</v>
      </c>
      <c r="Q54" t="str">
        <f t="shared" si="1"/>
        <v>Sell</v>
      </c>
      <c r="R54">
        <f t="shared" si="2"/>
        <v>117.6</v>
      </c>
      <c r="S54">
        <f t="shared" si="3"/>
        <v>24361.599999999999</v>
      </c>
      <c r="T54">
        <f t="shared" si="4"/>
        <v>24126.400000000001</v>
      </c>
      <c r="U54" s="36">
        <v>0.63541666666666663</v>
      </c>
      <c r="V54">
        <v>24133</v>
      </c>
      <c r="AB54">
        <v>24150</v>
      </c>
      <c r="AC54">
        <v>24244</v>
      </c>
      <c r="AE54">
        <f t="shared" si="15"/>
        <v>94</v>
      </c>
      <c r="AF54">
        <f t="shared" si="6"/>
        <v>2044</v>
      </c>
      <c r="AI54">
        <f t="shared" si="11"/>
        <v>246000</v>
      </c>
      <c r="AJ54">
        <f t="shared" si="12"/>
        <v>18800</v>
      </c>
      <c r="AL54">
        <f t="shared" si="13"/>
        <v>264800</v>
      </c>
      <c r="AM54">
        <f t="shared" si="14"/>
        <v>1996900</v>
      </c>
    </row>
    <row r="55" spans="1:40">
      <c r="A55" s="41"/>
      <c r="B55" s="63">
        <v>0.1</v>
      </c>
      <c r="C55" s="63">
        <v>0</v>
      </c>
      <c r="D55" s="64">
        <v>4</v>
      </c>
      <c r="E55" s="42">
        <v>43182</v>
      </c>
      <c r="F55" s="41">
        <v>23686</v>
      </c>
      <c r="G55" s="41">
        <v>23700</v>
      </c>
      <c r="H55" s="41">
        <v>23700</v>
      </c>
      <c r="I55" s="45">
        <v>231</v>
      </c>
      <c r="J55" s="45">
        <v>202</v>
      </c>
      <c r="K55" s="46">
        <v>0.63541666666666663</v>
      </c>
      <c r="L55" s="45">
        <v>196</v>
      </c>
      <c r="M55" s="45">
        <v>193</v>
      </c>
      <c r="N55" s="43">
        <f t="shared" si="0"/>
        <v>44</v>
      </c>
      <c r="O55" s="77">
        <f>ImpliedCallVolatility(F55,G55,((D55)/365),B55,I55,C55)</f>
        <v>0.22747039794921875</v>
      </c>
      <c r="P55" s="77">
        <f>ImpliedPutVolatility(F55,H55,((D55)/365),B55,J55,C55)</f>
        <v>0.21022796630859375</v>
      </c>
      <c r="Q55" t="str">
        <f t="shared" si="1"/>
        <v>Sell</v>
      </c>
      <c r="R55">
        <f t="shared" si="2"/>
        <v>303.09999999999997</v>
      </c>
      <c r="S55">
        <f t="shared" si="3"/>
        <v>23989.1</v>
      </c>
      <c r="T55">
        <f t="shared" si="4"/>
        <v>23382.9</v>
      </c>
      <c r="U55" s="36">
        <v>0.63541666666666663</v>
      </c>
      <c r="V55">
        <v>23705</v>
      </c>
      <c r="AB55">
        <v>23668</v>
      </c>
      <c r="AC55">
        <v>23686</v>
      </c>
      <c r="AE55">
        <f t="shared" si="15"/>
        <v>18</v>
      </c>
      <c r="AF55">
        <f t="shared" si="6"/>
        <v>2062</v>
      </c>
      <c r="AI55">
        <f t="shared" ref="AI55:AI118" si="16">N55*2000</f>
        <v>88000</v>
      </c>
      <c r="AJ55">
        <f t="shared" ref="AJ55:AJ118" si="17">AE55*200</f>
        <v>3600</v>
      </c>
      <c r="AL55">
        <f t="shared" ref="AL55:AL118" si="18">AI55+AJ55</f>
        <v>91600</v>
      </c>
      <c r="AM55">
        <f t="shared" ref="AM55:AM118" si="19">AL55+AM54</f>
        <v>2088500</v>
      </c>
    </row>
    <row r="56" spans="1:40">
      <c r="A56" s="41"/>
      <c r="B56" s="63">
        <v>0.1</v>
      </c>
      <c r="C56" s="63">
        <v>0</v>
      </c>
      <c r="D56" s="64">
        <v>3</v>
      </c>
      <c r="E56" s="44">
        <v>43185</v>
      </c>
      <c r="F56" s="41">
        <v>23745</v>
      </c>
      <c r="G56" s="41">
        <v>23700</v>
      </c>
      <c r="H56" s="41">
        <v>23700</v>
      </c>
      <c r="I56" s="45">
        <v>196</v>
      </c>
      <c r="J56" s="45">
        <v>140</v>
      </c>
      <c r="K56" s="46">
        <v>0.54166666666666663</v>
      </c>
      <c r="L56" s="45">
        <v>303</v>
      </c>
      <c r="M56" s="45">
        <v>72</v>
      </c>
      <c r="N56" s="43">
        <f t="shared" si="0"/>
        <v>-39</v>
      </c>
      <c r="O56" s="77">
        <f>ImpliedCallVolatility(F56,G56,((D56)/365),B56,I56,C56)</f>
        <v>0.18856048583984375</v>
      </c>
      <c r="P56" s="77">
        <f>ImpliedPutVolatility(F56,H56,((D56)/365),B56,J56,C56)</f>
        <v>0.19855499267578125</v>
      </c>
      <c r="Q56" t="str">
        <f t="shared" si="1"/>
        <v>Buy</v>
      </c>
      <c r="R56">
        <f t="shared" si="2"/>
        <v>235.2</v>
      </c>
      <c r="S56">
        <f t="shared" si="3"/>
        <v>23980.2</v>
      </c>
      <c r="T56">
        <f t="shared" si="4"/>
        <v>23509.8</v>
      </c>
      <c r="U56" s="36">
        <v>0.57291666666666663</v>
      </c>
      <c r="V56">
        <v>23984</v>
      </c>
      <c r="AB56">
        <v>23745</v>
      </c>
      <c r="AC56">
        <v>24146</v>
      </c>
      <c r="AE56">
        <f t="shared" si="15"/>
        <v>401</v>
      </c>
      <c r="AF56">
        <f t="shared" si="6"/>
        <v>2463</v>
      </c>
      <c r="AI56">
        <f t="shared" si="16"/>
        <v>-78000</v>
      </c>
      <c r="AJ56">
        <f t="shared" si="17"/>
        <v>80200</v>
      </c>
      <c r="AL56">
        <f t="shared" si="18"/>
        <v>2200</v>
      </c>
      <c r="AM56">
        <f t="shared" si="19"/>
        <v>2090700</v>
      </c>
    </row>
    <row r="57" spans="1:40" ht="13.5" thickBot="1">
      <c r="A57" s="41" t="s">
        <v>57</v>
      </c>
      <c r="B57" s="63">
        <v>0.1</v>
      </c>
      <c r="C57" s="63">
        <v>0</v>
      </c>
      <c r="D57" s="64">
        <v>2</v>
      </c>
      <c r="E57" s="44">
        <v>43186</v>
      </c>
      <c r="F57" s="41">
        <v>24425</v>
      </c>
      <c r="G57" s="41">
        <v>24400</v>
      </c>
      <c r="H57" s="41">
        <v>24400</v>
      </c>
      <c r="I57" s="45">
        <v>172</v>
      </c>
      <c r="J57" s="45">
        <v>108</v>
      </c>
      <c r="K57" s="46">
        <v>0.63541666666666663</v>
      </c>
      <c r="L57" s="45">
        <v>94</v>
      </c>
      <c r="M57" s="45">
        <v>101</v>
      </c>
      <c r="N57" s="43">
        <f t="shared" si="0"/>
        <v>85</v>
      </c>
      <c r="O57" s="77">
        <f>ImpliedCallVolatility(F57,G57,((D57)/365),B57,I57,C57)</f>
        <v>0.21099090576171875</v>
      </c>
      <c r="P57" s="77">
        <f>ImpliedPutVolatility(F57,H57,((D57)/365),B57,J57,C57)</f>
        <v>0.17520904541015625</v>
      </c>
      <c r="Q57" t="str">
        <f t="shared" si="1"/>
        <v>Sell</v>
      </c>
      <c r="R57">
        <f t="shared" si="2"/>
        <v>196</v>
      </c>
      <c r="S57">
        <f t="shared" si="3"/>
        <v>24621</v>
      </c>
      <c r="T57">
        <f t="shared" si="4"/>
        <v>24229</v>
      </c>
      <c r="U57" s="36">
        <v>0.63541666666666663</v>
      </c>
      <c r="V57">
        <v>24427</v>
      </c>
      <c r="AB57">
        <v>24422</v>
      </c>
      <c r="AC57">
        <v>24424</v>
      </c>
      <c r="AE57">
        <f t="shared" si="15"/>
        <v>2</v>
      </c>
      <c r="AF57">
        <f t="shared" si="6"/>
        <v>2465</v>
      </c>
      <c r="AI57">
        <f t="shared" si="16"/>
        <v>170000</v>
      </c>
      <c r="AJ57">
        <f t="shared" si="17"/>
        <v>400</v>
      </c>
      <c r="AL57">
        <f t="shared" si="18"/>
        <v>170400</v>
      </c>
      <c r="AM57">
        <f t="shared" si="19"/>
        <v>2261100</v>
      </c>
    </row>
    <row r="58" spans="1:40" ht="13.5" thickBot="1">
      <c r="A58" s="41" t="s">
        <v>58</v>
      </c>
      <c r="B58" s="63">
        <v>0.1</v>
      </c>
      <c r="C58" s="63">
        <v>0</v>
      </c>
      <c r="D58" s="64">
        <v>1</v>
      </c>
      <c r="E58" s="47">
        <v>43187</v>
      </c>
      <c r="F58" s="41">
        <v>24256</v>
      </c>
      <c r="G58" s="41">
        <v>24300</v>
      </c>
      <c r="H58" s="41">
        <v>24300</v>
      </c>
      <c r="I58" s="45">
        <v>56</v>
      </c>
      <c r="J58" s="45">
        <v>103</v>
      </c>
      <c r="K58" s="46">
        <v>0.63541666666666663</v>
      </c>
      <c r="L58" s="45">
        <v>0</v>
      </c>
      <c r="M58" s="45">
        <v>44</v>
      </c>
      <c r="N58" s="43">
        <f t="shared" si="0"/>
        <v>115</v>
      </c>
      <c r="O58" s="77">
        <f>ImpliedCallVolatility(F58,G58,((D58)/365),B58,I58,C58)</f>
        <v>0.14430999755859375</v>
      </c>
      <c r="P58" s="77">
        <f>ImpliedPutVolatility(F58,H58,((D58)/365),B58,J58,C58)</f>
        <v>0.16376495361328125</v>
      </c>
      <c r="Q58" t="str">
        <f t="shared" si="1"/>
        <v>Buy</v>
      </c>
      <c r="R58">
        <f t="shared" si="2"/>
        <v>111.3</v>
      </c>
      <c r="S58">
        <f t="shared" si="3"/>
        <v>24367.3</v>
      </c>
      <c r="T58">
        <f t="shared" si="4"/>
        <v>24144.7</v>
      </c>
      <c r="U58" s="36">
        <v>0.63541666666666663</v>
      </c>
      <c r="V58">
        <v>24232</v>
      </c>
      <c r="X58" t="s">
        <v>66</v>
      </c>
      <c r="Y58" s="72">
        <f>SUM(N40:N58)</f>
        <v>720</v>
      </c>
      <c r="AB58">
        <v>24255</v>
      </c>
      <c r="AC58">
        <v>24255</v>
      </c>
      <c r="AE58">
        <f t="shared" si="15"/>
        <v>0</v>
      </c>
      <c r="AF58">
        <f t="shared" si="6"/>
        <v>2465</v>
      </c>
      <c r="AG58">
        <f>SUM(AE40:AE58)</f>
        <v>1008</v>
      </c>
      <c r="AI58">
        <f t="shared" si="16"/>
        <v>230000</v>
      </c>
      <c r="AJ58">
        <f t="shared" si="17"/>
        <v>0</v>
      </c>
      <c r="AL58">
        <f t="shared" si="18"/>
        <v>230000</v>
      </c>
      <c r="AM58">
        <f t="shared" si="19"/>
        <v>2491100</v>
      </c>
      <c r="AN58">
        <f>AM58-AM39</f>
        <v>1641600</v>
      </c>
    </row>
    <row r="59" spans="1:40">
      <c r="A59" s="41"/>
      <c r="B59" s="63">
        <v>0.1</v>
      </c>
      <c r="C59" s="63">
        <v>0</v>
      </c>
      <c r="D59" s="64">
        <v>4</v>
      </c>
      <c r="E59" s="42">
        <v>43192</v>
      </c>
      <c r="F59" s="41">
        <v>24206</v>
      </c>
      <c r="G59" s="41">
        <v>24200</v>
      </c>
      <c r="H59" s="41">
        <v>24200</v>
      </c>
      <c r="I59" s="45">
        <v>240</v>
      </c>
      <c r="J59" s="45">
        <v>204</v>
      </c>
      <c r="K59" s="46">
        <v>0.63541666666666663</v>
      </c>
      <c r="L59" s="45">
        <v>285</v>
      </c>
      <c r="M59" s="45">
        <v>136</v>
      </c>
      <c r="N59" s="43">
        <f t="shared" si="0"/>
        <v>23</v>
      </c>
      <c r="O59" s="77">
        <f>ImpliedCallVolatility(F59,G59,((D59)/365),B59,I59,C59)</f>
        <v>0.22113800048828125</v>
      </c>
      <c r="P59" s="77">
        <f>ImpliedPutVolatility(F59,H59,((D59)/365),B59,J59,C59)</f>
        <v>0.21762847900390625</v>
      </c>
      <c r="Q59" t="str">
        <f t="shared" si="1"/>
        <v>Sell</v>
      </c>
      <c r="R59">
        <f t="shared" si="2"/>
        <v>310.79999999999995</v>
      </c>
      <c r="S59">
        <f t="shared" si="3"/>
        <v>24516.799999999999</v>
      </c>
      <c r="T59">
        <f t="shared" si="4"/>
        <v>23895.200000000001</v>
      </c>
      <c r="U59" s="36">
        <v>0.63541666666666663</v>
      </c>
      <c r="V59">
        <v>24340</v>
      </c>
      <c r="AB59">
        <v>24206</v>
      </c>
      <c r="AC59">
        <v>24291</v>
      </c>
      <c r="AE59">
        <f t="shared" si="15"/>
        <v>85</v>
      </c>
      <c r="AF59">
        <f t="shared" si="6"/>
        <v>2550</v>
      </c>
      <c r="AI59">
        <f t="shared" si="16"/>
        <v>46000</v>
      </c>
      <c r="AJ59">
        <f t="shared" si="17"/>
        <v>17000</v>
      </c>
      <c r="AL59">
        <f t="shared" si="18"/>
        <v>63000</v>
      </c>
      <c r="AM59">
        <f t="shared" si="19"/>
        <v>2554100</v>
      </c>
    </row>
    <row r="60" spans="1:40">
      <c r="A60" s="41"/>
      <c r="B60" s="63">
        <v>0.1</v>
      </c>
      <c r="C60" s="63">
        <v>0</v>
      </c>
      <c r="D60" s="64">
        <v>3</v>
      </c>
      <c r="E60" s="44">
        <v>43193</v>
      </c>
      <c r="F60" s="41">
        <v>24408</v>
      </c>
      <c r="G60" s="41">
        <v>24400</v>
      </c>
      <c r="H60" s="41">
        <v>24400</v>
      </c>
      <c r="I60" s="45">
        <v>192</v>
      </c>
      <c r="J60" s="45">
        <v>156</v>
      </c>
      <c r="K60" s="46">
        <v>0.63541666666666663</v>
      </c>
      <c r="L60" s="45">
        <v>226</v>
      </c>
      <c r="M60" s="45">
        <v>85</v>
      </c>
      <c r="N60" s="43">
        <f t="shared" si="0"/>
        <v>37</v>
      </c>
      <c r="O60" s="77">
        <f>ImpliedCallVolatility(F60,G60,((D60)/365),B60,I60,C60)</f>
        <v>0.20130157470703125</v>
      </c>
      <c r="P60" s="77">
        <f>ImpliedPutVolatility(F60,H60,((D60)/365),B60,J60,C60)</f>
        <v>0.19229888916015625</v>
      </c>
      <c r="Q60" t="str">
        <f t="shared" si="1"/>
        <v>Sell</v>
      </c>
      <c r="R60">
        <f t="shared" si="2"/>
        <v>243.6</v>
      </c>
      <c r="S60">
        <f t="shared" si="3"/>
        <v>24651.599999999999</v>
      </c>
      <c r="T60">
        <f t="shared" si="4"/>
        <v>24164.400000000001</v>
      </c>
      <c r="U60" s="36">
        <v>0.63541666666666663</v>
      </c>
      <c r="V60">
        <v>24514</v>
      </c>
      <c r="AB60">
        <v>24465</v>
      </c>
      <c r="AC60">
        <v>24408</v>
      </c>
      <c r="AE60">
        <f t="shared" si="15"/>
        <v>-57</v>
      </c>
      <c r="AF60">
        <f t="shared" si="6"/>
        <v>2493</v>
      </c>
      <c r="AI60">
        <f t="shared" si="16"/>
        <v>74000</v>
      </c>
      <c r="AJ60">
        <f t="shared" si="17"/>
        <v>-11400</v>
      </c>
      <c r="AL60">
        <f t="shared" si="18"/>
        <v>62600</v>
      </c>
      <c r="AM60">
        <f t="shared" si="19"/>
        <v>2616700</v>
      </c>
    </row>
    <row r="61" spans="1:40" ht="13.5" thickBot="1">
      <c r="A61" s="41" t="s">
        <v>57</v>
      </c>
      <c r="B61" s="63">
        <v>0.1</v>
      </c>
      <c r="C61" s="63">
        <v>0</v>
      </c>
      <c r="D61" s="64">
        <v>2</v>
      </c>
      <c r="E61" s="44">
        <v>43194</v>
      </c>
      <c r="F61" s="41">
        <v>24480</v>
      </c>
      <c r="G61" s="41">
        <v>24500</v>
      </c>
      <c r="H61" s="41">
        <v>24500</v>
      </c>
      <c r="I61" s="45">
        <v>162</v>
      </c>
      <c r="J61" s="45">
        <v>121</v>
      </c>
      <c r="K61" s="46">
        <v>0.5625</v>
      </c>
      <c r="L61" s="45">
        <v>55</v>
      </c>
      <c r="M61" s="45">
        <v>215</v>
      </c>
      <c r="N61" s="43">
        <f t="shared" si="0"/>
        <v>13</v>
      </c>
      <c r="O61" s="77">
        <f>ImpliedCallVolatility(F61,G61,((D61)/365),B61,I61,C61)</f>
        <v>0.22861480712890625</v>
      </c>
      <c r="P61" s="77">
        <f>ImpliedPutVolatility(F61,H61,((D61)/365),B61,J61,C61)</f>
        <v>0.16277313232421875</v>
      </c>
      <c r="Q61" t="str">
        <f t="shared" si="1"/>
        <v>Sell</v>
      </c>
      <c r="R61">
        <f t="shared" si="2"/>
        <v>198.1</v>
      </c>
      <c r="S61">
        <f t="shared" si="3"/>
        <v>24678.1</v>
      </c>
      <c r="T61">
        <f t="shared" si="4"/>
        <v>24281.9</v>
      </c>
      <c r="U61" s="36">
        <v>0.5625</v>
      </c>
      <c r="V61">
        <v>24227</v>
      </c>
      <c r="AB61">
        <v>24121</v>
      </c>
      <c r="AC61">
        <v>24480</v>
      </c>
      <c r="AE61">
        <f t="shared" si="15"/>
        <v>359</v>
      </c>
      <c r="AF61">
        <f t="shared" si="6"/>
        <v>2852</v>
      </c>
      <c r="AI61">
        <f t="shared" si="16"/>
        <v>26000</v>
      </c>
      <c r="AJ61">
        <f t="shared" si="17"/>
        <v>71800</v>
      </c>
      <c r="AL61">
        <f t="shared" si="18"/>
        <v>97800</v>
      </c>
      <c r="AM61">
        <f t="shared" si="19"/>
        <v>2714500</v>
      </c>
    </row>
    <row r="62" spans="1:40" ht="13.5" thickBot="1">
      <c r="A62" s="41" t="s">
        <v>58</v>
      </c>
      <c r="B62" s="63">
        <v>0.1</v>
      </c>
      <c r="C62" s="63">
        <v>0</v>
      </c>
      <c r="D62" s="64">
        <v>1</v>
      </c>
      <c r="E62" s="47">
        <v>43195</v>
      </c>
      <c r="F62" s="41">
        <v>24416</v>
      </c>
      <c r="G62" s="41">
        <v>24400</v>
      </c>
      <c r="H62" s="41">
        <v>24400</v>
      </c>
      <c r="I62" s="45">
        <v>105</v>
      </c>
      <c r="J62" s="45">
        <v>52</v>
      </c>
      <c r="K62" s="46">
        <v>0.4375</v>
      </c>
      <c r="L62" s="45">
        <v>122</v>
      </c>
      <c r="M62" s="45">
        <v>35</v>
      </c>
      <c r="N62" s="43">
        <f t="shared" si="0"/>
        <v>0</v>
      </c>
      <c r="O62" s="77">
        <f>ImpliedCallVolatility(F62,G62,((D62)/365),B62,I62,C62)</f>
        <v>0.18291473388671875</v>
      </c>
      <c r="P62" s="77">
        <f>ImpliedPutVolatility(F62,H62,((D62)/365),B62,J62,C62)</f>
        <v>0.12302398681640625</v>
      </c>
      <c r="Q62" t="str">
        <f t="shared" si="1"/>
        <v>Sell</v>
      </c>
      <c r="R62">
        <f t="shared" si="2"/>
        <v>109.89999999999999</v>
      </c>
      <c r="S62">
        <f t="shared" si="3"/>
        <v>24525.9</v>
      </c>
      <c r="T62">
        <f t="shared" si="4"/>
        <v>24306.1</v>
      </c>
      <c r="U62" s="36">
        <v>0.625</v>
      </c>
      <c r="V62">
        <v>24677</v>
      </c>
      <c r="AB62">
        <v>24616</v>
      </c>
      <c r="AC62">
        <v>24416</v>
      </c>
      <c r="AE62">
        <f t="shared" si="15"/>
        <v>-200</v>
      </c>
      <c r="AF62">
        <f t="shared" si="6"/>
        <v>2652</v>
      </c>
      <c r="AI62">
        <f t="shared" si="16"/>
        <v>0</v>
      </c>
      <c r="AJ62">
        <f t="shared" si="17"/>
        <v>-40000</v>
      </c>
      <c r="AL62">
        <f t="shared" si="18"/>
        <v>-40000</v>
      </c>
      <c r="AM62">
        <f t="shared" si="19"/>
        <v>2674500</v>
      </c>
    </row>
    <row r="63" spans="1:40">
      <c r="A63" s="41"/>
      <c r="B63" s="63">
        <v>0.1</v>
      </c>
      <c r="C63" s="63">
        <v>0</v>
      </c>
      <c r="D63" s="64">
        <v>5</v>
      </c>
      <c r="E63" s="42">
        <v>43196</v>
      </c>
      <c r="F63" s="41">
        <v>24704</v>
      </c>
      <c r="G63" s="41">
        <v>24700</v>
      </c>
      <c r="H63" s="41">
        <v>24700</v>
      </c>
      <c r="I63" s="41">
        <v>208</v>
      </c>
      <c r="J63" s="41">
        <v>199</v>
      </c>
      <c r="K63" s="46">
        <v>0.63541666666666663</v>
      </c>
      <c r="L63" s="41">
        <v>310</v>
      </c>
      <c r="M63" s="41">
        <v>130</v>
      </c>
      <c r="N63" s="43">
        <f t="shared" si="0"/>
        <v>-33</v>
      </c>
      <c r="O63" s="77">
        <f>ImpliedCallVolatility(F63,G63,((D63)/365),B63,I63,C63)</f>
        <v>0.16353607177734375</v>
      </c>
      <c r="P63" s="77">
        <f>ImpliedPutVolatility(F63,H63,((D63)/365),B63,J63,C63)</f>
        <v>0.18863677978515625</v>
      </c>
      <c r="Q63" t="str">
        <f t="shared" si="1"/>
        <v>Buy</v>
      </c>
      <c r="R63">
        <f t="shared" si="2"/>
        <v>284.89999999999998</v>
      </c>
      <c r="S63">
        <f t="shared" si="3"/>
        <v>24988.9</v>
      </c>
      <c r="T63">
        <f t="shared" si="4"/>
        <v>24419.1</v>
      </c>
      <c r="U63" s="36">
        <v>0.625</v>
      </c>
      <c r="V63">
        <v>24932</v>
      </c>
      <c r="AB63">
        <v>24704</v>
      </c>
      <c r="AC63">
        <v>24912</v>
      </c>
      <c r="AE63">
        <f t="shared" si="15"/>
        <v>208</v>
      </c>
      <c r="AF63">
        <f t="shared" si="6"/>
        <v>2860</v>
      </c>
      <c r="AI63">
        <f t="shared" si="16"/>
        <v>-66000</v>
      </c>
      <c r="AJ63">
        <f t="shared" si="17"/>
        <v>41600</v>
      </c>
      <c r="AL63">
        <f t="shared" si="18"/>
        <v>-24400</v>
      </c>
      <c r="AM63">
        <f t="shared" si="19"/>
        <v>2650100</v>
      </c>
    </row>
    <row r="64" spans="1:40">
      <c r="A64" s="41"/>
      <c r="B64" s="63">
        <v>0.1</v>
      </c>
      <c r="C64" s="63">
        <v>0</v>
      </c>
      <c r="D64" s="64">
        <v>4</v>
      </c>
      <c r="E64" s="44">
        <v>43199</v>
      </c>
      <c r="F64" s="41">
        <v>24967</v>
      </c>
      <c r="G64" s="41">
        <v>25000</v>
      </c>
      <c r="H64" s="41">
        <v>25000</v>
      </c>
      <c r="I64" s="41">
        <v>186</v>
      </c>
      <c r="J64" s="41">
        <v>191</v>
      </c>
      <c r="K64" s="46">
        <v>0.63541666666666663</v>
      </c>
      <c r="L64" s="41">
        <v>205</v>
      </c>
      <c r="M64" s="41">
        <v>136</v>
      </c>
      <c r="N64" s="43">
        <f t="shared" si="0"/>
        <v>36</v>
      </c>
      <c r="O64" s="77">
        <f>ImpliedCallVolatility(F64,G64,((D64)/365),B64,I64,C64)</f>
        <v>0.18108367919921875</v>
      </c>
      <c r="P64" s="77">
        <f>ImpliedPutVolatility(F64,H64,((D64)/365),B64,J64,C64)</f>
        <v>0.18047332763671875</v>
      </c>
      <c r="Q64" t="str">
        <f t="shared" si="1"/>
        <v>Sell</v>
      </c>
      <c r="R64">
        <f t="shared" si="2"/>
        <v>263.89999999999998</v>
      </c>
      <c r="S64">
        <f t="shared" si="3"/>
        <v>25230.9</v>
      </c>
      <c r="T64">
        <f t="shared" si="4"/>
        <v>24703.1</v>
      </c>
      <c r="U64" s="36">
        <v>0.63541666666666663</v>
      </c>
      <c r="V64">
        <v>25100</v>
      </c>
      <c r="AB64">
        <v>25140</v>
      </c>
      <c r="AC64">
        <v>24967</v>
      </c>
      <c r="AE64">
        <f t="shared" si="15"/>
        <v>-173</v>
      </c>
      <c r="AF64">
        <f t="shared" si="6"/>
        <v>2687</v>
      </c>
      <c r="AI64">
        <f t="shared" si="16"/>
        <v>72000</v>
      </c>
      <c r="AJ64">
        <f t="shared" si="17"/>
        <v>-34600</v>
      </c>
      <c r="AL64">
        <f t="shared" si="18"/>
        <v>37400</v>
      </c>
      <c r="AM64">
        <f t="shared" si="19"/>
        <v>2687500</v>
      </c>
    </row>
    <row r="65" spans="1:40">
      <c r="A65" s="41"/>
      <c r="B65" s="63">
        <v>0.1</v>
      </c>
      <c r="C65" s="63">
        <v>0</v>
      </c>
      <c r="D65" s="64">
        <v>3</v>
      </c>
      <c r="E65" s="44">
        <v>43200</v>
      </c>
      <c r="F65" s="41">
        <v>25203</v>
      </c>
      <c r="G65" s="41">
        <v>25200</v>
      </c>
      <c r="H65" s="41">
        <v>25200</v>
      </c>
      <c r="I65" s="41">
        <v>142</v>
      </c>
      <c r="J65" s="41">
        <v>163</v>
      </c>
      <c r="K65" s="46">
        <v>0.63541666666666663</v>
      </c>
      <c r="L65" s="41">
        <v>132</v>
      </c>
      <c r="M65" s="41">
        <v>149</v>
      </c>
      <c r="N65" s="43">
        <f t="shared" si="0"/>
        <v>24</v>
      </c>
      <c r="O65" s="77">
        <f>ImpliedCallVolatility(F65,G65,((D65)/365),B65,I65,C65)</f>
        <v>0.14247894287109375</v>
      </c>
      <c r="P65" s="77">
        <f>ImpliedPutVolatility(F65,H65,((D65)/365),B65,J65,C65)</f>
        <v>0.19161224365234375</v>
      </c>
      <c r="Q65" t="str">
        <f t="shared" si="1"/>
        <v>Buy</v>
      </c>
      <c r="R65">
        <f t="shared" si="2"/>
        <v>213.5</v>
      </c>
      <c r="S65">
        <f t="shared" si="3"/>
        <v>25416.5</v>
      </c>
      <c r="T65">
        <f t="shared" si="4"/>
        <v>24989.5</v>
      </c>
      <c r="U65" s="36">
        <v>0.63541666666666663</v>
      </c>
      <c r="V65">
        <v>25222</v>
      </c>
      <c r="AB65">
        <v>25203</v>
      </c>
      <c r="AC65">
        <v>25221</v>
      </c>
      <c r="AE65">
        <f t="shared" si="15"/>
        <v>18</v>
      </c>
      <c r="AF65">
        <f t="shared" si="6"/>
        <v>2705</v>
      </c>
      <c r="AI65">
        <f t="shared" si="16"/>
        <v>48000</v>
      </c>
      <c r="AJ65">
        <f t="shared" si="17"/>
        <v>3600</v>
      </c>
      <c r="AL65">
        <f t="shared" si="18"/>
        <v>51600</v>
      </c>
      <c r="AM65">
        <f t="shared" si="19"/>
        <v>2739100</v>
      </c>
    </row>
    <row r="66" spans="1:40">
      <c r="A66" s="41" t="s">
        <v>57</v>
      </c>
      <c r="B66" s="63">
        <v>0.1</v>
      </c>
      <c r="C66" s="63">
        <v>0</v>
      </c>
      <c r="D66" s="64">
        <v>2</v>
      </c>
      <c r="E66" s="44">
        <v>43201</v>
      </c>
      <c r="F66" s="41">
        <v>25102</v>
      </c>
      <c r="G66" s="41">
        <v>25100</v>
      </c>
      <c r="H66" s="41">
        <v>25100</v>
      </c>
      <c r="I66" s="41">
        <v>94</v>
      </c>
      <c r="J66" s="41">
        <v>145</v>
      </c>
      <c r="K66" s="46">
        <v>0.63541666666666663</v>
      </c>
      <c r="L66" s="41">
        <v>80</v>
      </c>
      <c r="M66" s="41">
        <v>112</v>
      </c>
      <c r="N66" s="43">
        <f t="shared" si="0"/>
        <v>47</v>
      </c>
      <c r="O66" s="77">
        <f>ImpliedCallVolatility(F66,G66,((D66)/365),B66,I66,C66)</f>
        <v>0.11592864990234375</v>
      </c>
      <c r="P66" s="77">
        <f>ImpliedPutVolatility(F66,H66,((D66)/365),B66,J66,C66)</f>
        <v>0.20610809326171875</v>
      </c>
      <c r="Q66" t="str">
        <f t="shared" si="1"/>
        <v>Buy</v>
      </c>
      <c r="R66">
        <f t="shared" si="2"/>
        <v>167.29999999999998</v>
      </c>
      <c r="S66">
        <f t="shared" si="3"/>
        <v>25269.3</v>
      </c>
      <c r="T66">
        <f t="shared" si="4"/>
        <v>24934.7</v>
      </c>
      <c r="U66" s="36">
        <v>0.63541666666666663</v>
      </c>
      <c r="V66">
        <v>25103</v>
      </c>
      <c r="AB66">
        <v>25102</v>
      </c>
      <c r="AC66">
        <v>25077</v>
      </c>
      <c r="AE66">
        <f t="shared" si="15"/>
        <v>-25</v>
      </c>
      <c r="AF66">
        <f t="shared" si="6"/>
        <v>2680</v>
      </c>
      <c r="AI66">
        <f t="shared" si="16"/>
        <v>94000</v>
      </c>
      <c r="AJ66">
        <f t="shared" si="17"/>
        <v>-5000</v>
      </c>
      <c r="AL66">
        <f t="shared" si="18"/>
        <v>89000</v>
      </c>
      <c r="AM66">
        <f t="shared" si="19"/>
        <v>2828100</v>
      </c>
    </row>
    <row r="67" spans="1:40" ht="13.5" thickBot="1">
      <c r="A67" s="41" t="s">
        <v>58</v>
      </c>
      <c r="B67" s="63">
        <v>0.1</v>
      </c>
      <c r="C67" s="63">
        <v>0</v>
      </c>
      <c r="D67" s="64">
        <v>1</v>
      </c>
      <c r="E67" s="48">
        <v>43202</v>
      </c>
      <c r="F67" s="41">
        <v>24992</v>
      </c>
      <c r="G67" s="41">
        <v>25000</v>
      </c>
      <c r="H67" s="41">
        <v>25000</v>
      </c>
      <c r="I67" s="41">
        <v>62</v>
      </c>
      <c r="J67" s="41">
        <v>68</v>
      </c>
      <c r="K67" s="46">
        <v>0.45833333333333331</v>
      </c>
      <c r="L67" s="41">
        <v>81</v>
      </c>
      <c r="M67" s="41">
        <v>46</v>
      </c>
      <c r="N67" s="43">
        <f t="shared" ref="N67:N130" si="20">(I67+J67)-(L67+M67)</f>
        <v>3</v>
      </c>
      <c r="O67" s="77">
        <f>ImpliedCallVolatility(F67,G67,((D67)/365),B67,I67,C67)</f>
        <v>0.11989593505859375</v>
      </c>
      <c r="P67" s="77">
        <f>ImpliedPutVolatility(F67,H67,((D67)/365),B67,J67,C67)</f>
        <v>0.12920379638671875</v>
      </c>
      <c r="Q67" t="str">
        <f t="shared" si="1"/>
        <v>Buy</v>
      </c>
      <c r="R67">
        <f t="shared" si="2"/>
        <v>91</v>
      </c>
      <c r="S67">
        <f t="shared" si="3"/>
        <v>25083</v>
      </c>
      <c r="T67">
        <f t="shared" si="4"/>
        <v>24901</v>
      </c>
      <c r="U67" s="36">
        <v>0.5625</v>
      </c>
      <c r="V67">
        <v>25221</v>
      </c>
      <c r="AB67">
        <v>24991</v>
      </c>
      <c r="AC67">
        <v>25187</v>
      </c>
      <c r="AE67">
        <f t="shared" si="15"/>
        <v>196</v>
      </c>
      <c r="AF67">
        <f t="shared" si="6"/>
        <v>2876</v>
      </c>
      <c r="AI67">
        <f t="shared" si="16"/>
        <v>6000</v>
      </c>
      <c r="AJ67">
        <f t="shared" si="17"/>
        <v>39200</v>
      </c>
      <c r="AL67">
        <f t="shared" si="18"/>
        <v>45200</v>
      </c>
      <c r="AM67">
        <f t="shared" si="19"/>
        <v>2873300</v>
      </c>
    </row>
    <row r="68" spans="1:40">
      <c r="A68" s="41"/>
      <c r="B68" s="63">
        <v>0.1</v>
      </c>
      <c r="C68" s="63">
        <v>0</v>
      </c>
      <c r="D68" s="64">
        <v>5</v>
      </c>
      <c r="E68" s="42">
        <v>43203</v>
      </c>
      <c r="F68" s="41">
        <v>25308</v>
      </c>
      <c r="G68" s="41">
        <v>25300</v>
      </c>
      <c r="H68" s="41">
        <v>25300</v>
      </c>
      <c r="I68" s="41">
        <v>189</v>
      </c>
      <c r="J68" s="41">
        <v>208</v>
      </c>
      <c r="K68" s="46">
        <v>0.63541666666666663</v>
      </c>
      <c r="L68" s="41">
        <v>132</v>
      </c>
      <c r="M68" s="41">
        <v>243</v>
      </c>
      <c r="N68" s="43">
        <f t="shared" si="20"/>
        <v>22</v>
      </c>
      <c r="O68" s="77">
        <f>ImpliedCallVolatility(F68,G68,((D68)/365),B68,I68,C68)</f>
        <v>0.14125823974609375</v>
      </c>
      <c r="P68" s="77">
        <f>ImpliedPutVolatility(F68,H68,((D68)/365),B68,J68,C68)</f>
        <v>0.19367218017578125</v>
      </c>
      <c r="Q68" t="str">
        <f t="shared" ref="Q68:Q131" si="21">IF(P68&gt;O68,"Buy","Sell")</f>
        <v>Buy</v>
      </c>
      <c r="R68">
        <f t="shared" ref="R68:R131" si="22">(I68+J68)*0.7</f>
        <v>277.89999999999998</v>
      </c>
      <c r="S68">
        <f t="shared" ref="S68:S131" si="23">F68+R68</f>
        <v>25585.9</v>
      </c>
      <c r="T68">
        <f t="shared" ref="T68:T131" si="24">F68-R68</f>
        <v>25030.1</v>
      </c>
      <c r="U68" s="36">
        <v>0.60416666666666663</v>
      </c>
      <c r="V68">
        <v>25079</v>
      </c>
      <c r="AB68">
        <v>25308</v>
      </c>
      <c r="AC68">
        <v>25273</v>
      </c>
      <c r="AE68">
        <f t="shared" si="15"/>
        <v>-35</v>
      </c>
      <c r="AF68">
        <f t="shared" ref="AF68:AF131" si="25">AF67+AE68</f>
        <v>2841</v>
      </c>
      <c r="AI68">
        <f t="shared" si="16"/>
        <v>44000</v>
      </c>
      <c r="AJ68">
        <f t="shared" si="17"/>
        <v>-7000</v>
      </c>
      <c r="AL68">
        <f t="shared" si="18"/>
        <v>37000</v>
      </c>
      <c r="AM68">
        <f t="shared" si="19"/>
        <v>2910300</v>
      </c>
    </row>
    <row r="69" spans="1:40">
      <c r="A69" s="41"/>
      <c r="B69" s="63">
        <v>0.1</v>
      </c>
      <c r="C69" s="63">
        <v>0</v>
      </c>
      <c r="D69" s="64">
        <v>4</v>
      </c>
      <c r="E69" s="44">
        <v>43206</v>
      </c>
      <c r="F69" s="41">
        <v>25231</v>
      </c>
      <c r="G69" s="41">
        <v>25200</v>
      </c>
      <c r="H69" s="41">
        <v>25200</v>
      </c>
      <c r="I69" s="41">
        <v>177</v>
      </c>
      <c r="J69" s="41">
        <v>186</v>
      </c>
      <c r="K69" s="46">
        <v>0.63541666666666663</v>
      </c>
      <c r="L69" s="41">
        <v>236</v>
      </c>
      <c r="M69" s="41">
        <v>106</v>
      </c>
      <c r="N69" s="43">
        <f t="shared" si="20"/>
        <v>21</v>
      </c>
      <c r="O69" s="77">
        <f>ImpliedCallVolatility(F69,G69,((D69)/365),B69,I69,C69)</f>
        <v>0.13858795166015625</v>
      </c>
      <c r="P69" s="77">
        <f>ImpliedPutVolatility(F69,H69,((D69)/365),B69,J69,C69)</f>
        <v>0.20336151123046875</v>
      </c>
      <c r="Q69" t="str">
        <f t="shared" si="21"/>
        <v>Buy</v>
      </c>
      <c r="R69">
        <f t="shared" si="22"/>
        <v>254.1</v>
      </c>
      <c r="S69">
        <f t="shared" si="23"/>
        <v>25485.1</v>
      </c>
      <c r="T69">
        <f t="shared" si="24"/>
        <v>24976.9</v>
      </c>
      <c r="U69" s="36">
        <v>0.63541666666666663</v>
      </c>
      <c r="V69">
        <v>25315</v>
      </c>
      <c r="AB69">
        <v>25230</v>
      </c>
      <c r="AC69">
        <v>25313</v>
      </c>
      <c r="AE69">
        <f t="shared" si="15"/>
        <v>83</v>
      </c>
      <c r="AF69">
        <f t="shared" si="25"/>
        <v>2924</v>
      </c>
      <c r="AI69">
        <f t="shared" si="16"/>
        <v>42000</v>
      </c>
      <c r="AJ69">
        <f t="shared" si="17"/>
        <v>16600</v>
      </c>
      <c r="AL69">
        <f t="shared" si="18"/>
        <v>58600</v>
      </c>
      <c r="AM69">
        <f t="shared" si="19"/>
        <v>2968900</v>
      </c>
    </row>
    <row r="70" spans="1:40">
      <c r="A70" s="41"/>
      <c r="B70" s="63">
        <v>0.1</v>
      </c>
      <c r="C70" s="63">
        <v>0</v>
      </c>
      <c r="D70" s="64">
        <v>3</v>
      </c>
      <c r="E70" s="44">
        <v>43207</v>
      </c>
      <c r="F70" s="41">
        <v>25295</v>
      </c>
      <c r="G70" s="41">
        <v>25300</v>
      </c>
      <c r="H70" s="41">
        <v>25300</v>
      </c>
      <c r="I70" s="41">
        <v>136</v>
      </c>
      <c r="J70" s="41">
        <v>132</v>
      </c>
      <c r="K70" s="46">
        <v>0.63541666666666663</v>
      </c>
      <c r="L70" s="41">
        <v>136</v>
      </c>
      <c r="M70" s="41">
        <v>114</v>
      </c>
      <c r="N70" s="43">
        <f t="shared" si="20"/>
        <v>18</v>
      </c>
      <c r="O70" s="77">
        <f>ImpliedCallVolatility(F70,G70,((D70)/365),B70,I70,C70)</f>
        <v>0.13988494873046875</v>
      </c>
      <c r="P70" s="77">
        <f>ImpliedPutVolatility(F70,H70,((D70)/365),B70,J70,C70)</f>
        <v>0.15277862548828125</v>
      </c>
      <c r="Q70" t="str">
        <f t="shared" si="21"/>
        <v>Buy</v>
      </c>
      <c r="R70">
        <f t="shared" si="22"/>
        <v>187.6</v>
      </c>
      <c r="S70">
        <f t="shared" si="23"/>
        <v>25482.6</v>
      </c>
      <c r="T70">
        <f t="shared" si="24"/>
        <v>25107.4</v>
      </c>
      <c r="U70" s="36">
        <v>0.63541666666666663</v>
      </c>
      <c r="V70">
        <v>25324</v>
      </c>
      <c r="AB70">
        <v>25295</v>
      </c>
      <c r="AC70">
        <v>25237</v>
      </c>
      <c r="AE70">
        <f t="shared" si="15"/>
        <v>-58</v>
      </c>
      <c r="AF70">
        <f t="shared" si="25"/>
        <v>2866</v>
      </c>
      <c r="AI70">
        <f t="shared" si="16"/>
        <v>36000</v>
      </c>
      <c r="AJ70">
        <f t="shared" si="17"/>
        <v>-11600</v>
      </c>
      <c r="AL70">
        <f t="shared" si="18"/>
        <v>24400</v>
      </c>
      <c r="AM70">
        <f t="shared" si="19"/>
        <v>2993300</v>
      </c>
    </row>
    <row r="71" spans="1:40">
      <c r="A71" s="41" t="s">
        <v>57</v>
      </c>
      <c r="B71" s="63">
        <v>0.1</v>
      </c>
      <c r="C71" s="63">
        <v>0</v>
      </c>
      <c r="D71" s="64">
        <v>2</v>
      </c>
      <c r="E71" s="44">
        <v>43208</v>
      </c>
      <c r="F71" s="41">
        <v>25306</v>
      </c>
      <c r="G71" s="41">
        <v>25300</v>
      </c>
      <c r="H71" s="41">
        <v>25300</v>
      </c>
      <c r="I71" s="41">
        <v>125</v>
      </c>
      <c r="J71" s="41">
        <v>109</v>
      </c>
      <c r="K71" s="46">
        <v>0.61458333333333337</v>
      </c>
      <c r="L71" s="41">
        <v>34</v>
      </c>
      <c r="M71" s="41">
        <v>189</v>
      </c>
      <c r="N71" s="43">
        <f t="shared" si="20"/>
        <v>11</v>
      </c>
      <c r="O71" s="77">
        <f>ImpliedCallVolatility(F71,G71,((D71)/365),B71,I71,C71)</f>
        <v>0.15369415283203125</v>
      </c>
      <c r="P71" s="77">
        <f>ImpliedPutVolatility(F71,H71,((D71)/365),B71,J71,C71)</f>
        <v>0.15888214111328125</v>
      </c>
      <c r="Q71" t="str">
        <f t="shared" si="21"/>
        <v>Buy</v>
      </c>
      <c r="R71">
        <f t="shared" si="22"/>
        <v>163.79999999999998</v>
      </c>
      <c r="S71">
        <f t="shared" si="23"/>
        <v>25469.8</v>
      </c>
      <c r="T71">
        <f t="shared" si="24"/>
        <v>25142.2</v>
      </c>
      <c r="U71" s="36">
        <v>0.63541666666666663</v>
      </c>
      <c r="V71">
        <v>25059</v>
      </c>
      <c r="AB71">
        <v>25306</v>
      </c>
      <c r="AC71">
        <v>25263</v>
      </c>
      <c r="AE71">
        <f t="shared" si="15"/>
        <v>-43</v>
      </c>
      <c r="AF71">
        <f t="shared" si="25"/>
        <v>2823</v>
      </c>
      <c r="AI71">
        <f t="shared" si="16"/>
        <v>22000</v>
      </c>
      <c r="AJ71">
        <f t="shared" si="17"/>
        <v>-8600</v>
      </c>
      <c r="AL71">
        <f t="shared" si="18"/>
        <v>13400</v>
      </c>
      <c r="AM71">
        <f t="shared" si="19"/>
        <v>3006700</v>
      </c>
    </row>
    <row r="72" spans="1:40" ht="13.5" thickBot="1">
      <c r="A72" s="41" t="s">
        <v>58</v>
      </c>
      <c r="B72" s="63">
        <v>0.1</v>
      </c>
      <c r="C72" s="63">
        <v>0</v>
      </c>
      <c r="D72" s="64">
        <v>1</v>
      </c>
      <c r="E72" s="48">
        <v>43209</v>
      </c>
      <c r="F72" s="41">
        <v>25137</v>
      </c>
      <c r="G72" s="41">
        <v>25100</v>
      </c>
      <c r="H72" s="41">
        <v>25100</v>
      </c>
      <c r="I72" s="41">
        <v>80</v>
      </c>
      <c r="J72" s="41">
        <v>41</v>
      </c>
      <c r="K72" s="46">
        <v>0.63541666666666663</v>
      </c>
      <c r="L72" s="41">
        <v>14</v>
      </c>
      <c r="M72" s="41">
        <v>9</v>
      </c>
      <c r="N72" s="43">
        <f t="shared" si="20"/>
        <v>98</v>
      </c>
      <c r="O72" s="77">
        <f>ImpliedCallVolatility(F72,G72,((D72)/365),B72,I72,C72)</f>
        <v>0.10547637939453125</v>
      </c>
      <c r="P72" s="77">
        <f>ImpliedPutVolatility(F72,H72,((D72)/365),B72,J72,C72)</f>
        <v>0.11524200439453125</v>
      </c>
      <c r="Q72" t="str">
        <f t="shared" si="21"/>
        <v>Buy</v>
      </c>
      <c r="R72">
        <f t="shared" si="22"/>
        <v>84.699999999999989</v>
      </c>
      <c r="S72">
        <f t="shared" si="23"/>
        <v>25221.7</v>
      </c>
      <c r="T72">
        <f t="shared" si="24"/>
        <v>25052.3</v>
      </c>
      <c r="U72" s="36">
        <v>0.63541666666666663</v>
      </c>
      <c r="V72">
        <v>25122</v>
      </c>
      <c r="AB72">
        <v>25137</v>
      </c>
      <c r="AC72">
        <v>25092</v>
      </c>
      <c r="AE72">
        <f t="shared" si="15"/>
        <v>-45</v>
      </c>
      <c r="AF72">
        <f t="shared" si="25"/>
        <v>2778</v>
      </c>
      <c r="AI72">
        <f t="shared" si="16"/>
        <v>196000</v>
      </c>
      <c r="AJ72">
        <f t="shared" si="17"/>
        <v>-9000</v>
      </c>
      <c r="AL72">
        <f t="shared" si="18"/>
        <v>187000</v>
      </c>
      <c r="AM72">
        <f t="shared" si="19"/>
        <v>3193700</v>
      </c>
    </row>
    <row r="73" spans="1:40">
      <c r="A73" s="41"/>
      <c r="B73" s="63">
        <v>0.1</v>
      </c>
      <c r="C73" s="63">
        <v>0</v>
      </c>
      <c r="D73" s="64">
        <v>5</v>
      </c>
      <c r="E73" s="42">
        <v>43210</v>
      </c>
      <c r="F73" s="41">
        <v>25013</v>
      </c>
      <c r="G73" s="41">
        <v>25000</v>
      </c>
      <c r="H73" s="41">
        <v>25000</v>
      </c>
      <c r="I73" s="41">
        <v>192</v>
      </c>
      <c r="J73" s="41">
        <v>182</v>
      </c>
      <c r="K73" s="46">
        <v>0.63541666666666663</v>
      </c>
      <c r="L73" s="41">
        <v>199</v>
      </c>
      <c r="M73" s="41">
        <v>146</v>
      </c>
      <c r="N73" s="43">
        <f t="shared" si="20"/>
        <v>29</v>
      </c>
      <c r="O73" s="77">
        <f>ImpliedCallVolatility(F73,G73,((D73)/365),B73,I73,C73)</f>
        <v>0.14339447021484375</v>
      </c>
      <c r="P73" s="77">
        <f>ImpliedPutVolatility(F73,H73,((D73)/365),B73,J73,C73)</f>
        <v>0.17543792724609375</v>
      </c>
      <c r="Q73" t="str">
        <f t="shared" si="21"/>
        <v>Buy</v>
      </c>
      <c r="R73">
        <f t="shared" si="22"/>
        <v>261.8</v>
      </c>
      <c r="S73">
        <f t="shared" si="23"/>
        <v>25274.799999999999</v>
      </c>
      <c r="T73">
        <f t="shared" si="24"/>
        <v>24751.200000000001</v>
      </c>
      <c r="U73" s="36">
        <v>0.63541666666666663</v>
      </c>
      <c r="V73">
        <v>24930</v>
      </c>
      <c r="AB73">
        <v>25013</v>
      </c>
      <c r="AC73">
        <v>24895</v>
      </c>
      <c r="AE73">
        <f t="shared" si="15"/>
        <v>-118</v>
      </c>
      <c r="AF73">
        <f t="shared" si="25"/>
        <v>2660</v>
      </c>
      <c r="AI73">
        <f t="shared" si="16"/>
        <v>58000</v>
      </c>
      <c r="AJ73">
        <f t="shared" si="17"/>
        <v>-23600</v>
      </c>
      <c r="AL73">
        <f t="shared" si="18"/>
        <v>34400</v>
      </c>
      <c r="AM73">
        <f t="shared" si="19"/>
        <v>3228100</v>
      </c>
    </row>
    <row r="74" spans="1:40">
      <c r="A74" s="41"/>
      <c r="B74" s="63">
        <v>0.1</v>
      </c>
      <c r="C74" s="63">
        <v>0</v>
      </c>
      <c r="D74" s="64">
        <v>4</v>
      </c>
      <c r="E74" s="44">
        <v>43213</v>
      </c>
      <c r="F74" s="41">
        <v>24863</v>
      </c>
      <c r="G74" s="41">
        <v>24900</v>
      </c>
      <c r="H74" s="41">
        <v>24900</v>
      </c>
      <c r="I74" s="41">
        <v>131</v>
      </c>
      <c r="J74" s="41">
        <v>194</v>
      </c>
      <c r="K74" s="46">
        <v>0.63541666666666663</v>
      </c>
      <c r="L74" s="41">
        <v>173</v>
      </c>
      <c r="M74" s="41">
        <v>130</v>
      </c>
      <c r="N74" s="43">
        <f t="shared" si="20"/>
        <v>22</v>
      </c>
      <c r="O74" s="77">
        <f>ImpliedCallVolatility(F74,G74,((D74)/365),B74,I74,C74)</f>
        <v>0.13072967529296875</v>
      </c>
      <c r="P74" s="77">
        <f>ImpliedPutVolatility(F74,H74,((D74)/365),B74,J74,C74)</f>
        <v>0.18207550048828125</v>
      </c>
      <c r="Q74" t="str">
        <f t="shared" si="21"/>
        <v>Buy</v>
      </c>
      <c r="R74">
        <f t="shared" si="22"/>
        <v>227.49999999999997</v>
      </c>
      <c r="S74">
        <f t="shared" si="23"/>
        <v>25090.5</v>
      </c>
      <c r="T74">
        <f t="shared" si="24"/>
        <v>24635.5</v>
      </c>
      <c r="U74" s="36">
        <v>0.44791666666666669</v>
      </c>
      <c r="V74">
        <v>25083</v>
      </c>
      <c r="AB74">
        <v>24863</v>
      </c>
      <c r="AC74">
        <v>25011</v>
      </c>
      <c r="AE74">
        <f t="shared" si="15"/>
        <v>148</v>
      </c>
      <c r="AF74">
        <f t="shared" si="25"/>
        <v>2808</v>
      </c>
      <c r="AI74">
        <f t="shared" si="16"/>
        <v>44000</v>
      </c>
      <c r="AJ74">
        <f t="shared" si="17"/>
        <v>29600</v>
      </c>
      <c r="AL74">
        <f t="shared" si="18"/>
        <v>73600</v>
      </c>
      <c r="AM74">
        <f t="shared" si="19"/>
        <v>3301700</v>
      </c>
    </row>
    <row r="75" spans="1:40">
      <c r="A75" s="41"/>
      <c r="B75" s="63">
        <v>0.1</v>
      </c>
      <c r="C75" s="63">
        <v>0</v>
      </c>
      <c r="D75" s="64">
        <v>3</v>
      </c>
      <c r="E75" s="44">
        <v>43214</v>
      </c>
      <c r="F75" s="41">
        <v>25113</v>
      </c>
      <c r="G75" s="41">
        <v>25100</v>
      </c>
      <c r="H75" s="41">
        <v>25100</v>
      </c>
      <c r="I75" s="41">
        <v>120</v>
      </c>
      <c r="J75" s="41">
        <v>154</v>
      </c>
      <c r="K75" s="46">
        <v>0.63541666666666663</v>
      </c>
      <c r="L75" s="41">
        <v>81</v>
      </c>
      <c r="M75" s="41">
        <v>162</v>
      </c>
      <c r="N75" s="43">
        <f t="shared" si="20"/>
        <v>31</v>
      </c>
      <c r="O75" s="77">
        <f>ImpliedCallVolatility(F75,G75,((D75)/365),B75,I75,C75)</f>
        <v>0.11272430419921875</v>
      </c>
      <c r="P75" s="77">
        <f>ImpliedPutVolatility(F75,H75,((D75)/365),B75,J75,C75)</f>
        <v>0.18756866455078125</v>
      </c>
      <c r="Q75" t="str">
        <f t="shared" si="21"/>
        <v>Buy</v>
      </c>
      <c r="R75">
        <f t="shared" si="22"/>
        <v>191.79999999999998</v>
      </c>
      <c r="S75">
        <f t="shared" si="23"/>
        <v>25304.799999999999</v>
      </c>
      <c r="T75">
        <f t="shared" si="24"/>
        <v>24921.200000000001</v>
      </c>
      <c r="U75" s="36">
        <v>0.63541666666666663</v>
      </c>
      <c r="V75">
        <v>25032</v>
      </c>
      <c r="AB75">
        <v>25112</v>
      </c>
      <c r="AC75">
        <v>25068</v>
      </c>
      <c r="AE75">
        <f t="shared" si="15"/>
        <v>-44</v>
      </c>
      <c r="AF75">
        <f t="shared" si="25"/>
        <v>2764</v>
      </c>
      <c r="AI75">
        <f t="shared" si="16"/>
        <v>62000</v>
      </c>
      <c r="AJ75">
        <f t="shared" si="17"/>
        <v>-8800</v>
      </c>
      <c r="AL75">
        <f t="shared" si="18"/>
        <v>53200</v>
      </c>
      <c r="AM75">
        <f t="shared" si="19"/>
        <v>3354900</v>
      </c>
    </row>
    <row r="76" spans="1:40">
      <c r="A76" s="41" t="s">
        <v>57</v>
      </c>
      <c r="B76" s="63">
        <v>0.1</v>
      </c>
      <c r="C76" s="63">
        <v>0</v>
      </c>
      <c r="D76" s="64">
        <v>2</v>
      </c>
      <c r="E76" s="44">
        <v>43215</v>
      </c>
      <c r="F76" s="41">
        <v>24964</v>
      </c>
      <c r="G76" s="41">
        <v>25000</v>
      </c>
      <c r="H76" s="41">
        <v>25000</v>
      </c>
      <c r="I76" s="41">
        <v>72</v>
      </c>
      <c r="J76" s="41">
        <v>149</v>
      </c>
      <c r="K76" s="46">
        <v>0.58333333333333337</v>
      </c>
      <c r="L76" s="41">
        <v>32</v>
      </c>
      <c r="M76" s="41">
        <v>205</v>
      </c>
      <c r="N76" s="43">
        <f t="shared" si="20"/>
        <v>-16</v>
      </c>
      <c r="O76" s="77">
        <f>ImpliedCallVolatility(F76,G76,((D76)/365),B76,I76,C76)</f>
        <v>0.11211395263671875</v>
      </c>
      <c r="P76" s="77">
        <f>ImpliedPutVolatility(F76,H76,((D76)/365),B76,J76,C76)</f>
        <v>0.18650054931640625</v>
      </c>
      <c r="Q76" t="str">
        <f t="shared" si="21"/>
        <v>Buy</v>
      </c>
      <c r="R76">
        <f t="shared" si="22"/>
        <v>154.69999999999999</v>
      </c>
      <c r="S76">
        <f t="shared" si="23"/>
        <v>25118.7</v>
      </c>
      <c r="T76">
        <f t="shared" si="24"/>
        <v>24809.3</v>
      </c>
      <c r="U76" s="36">
        <v>0.61458333333333337</v>
      </c>
      <c r="V76">
        <v>24737</v>
      </c>
      <c r="AB76">
        <v>24964</v>
      </c>
      <c r="AC76">
        <v>24942</v>
      </c>
      <c r="AE76">
        <f t="shared" si="15"/>
        <v>-22</v>
      </c>
      <c r="AF76">
        <f t="shared" si="25"/>
        <v>2742</v>
      </c>
      <c r="AI76">
        <f t="shared" si="16"/>
        <v>-32000</v>
      </c>
      <c r="AJ76">
        <f t="shared" si="17"/>
        <v>-4400</v>
      </c>
      <c r="AL76">
        <f t="shared" si="18"/>
        <v>-36400</v>
      </c>
      <c r="AM76">
        <f t="shared" si="19"/>
        <v>3318500</v>
      </c>
    </row>
    <row r="77" spans="1:40" ht="13.5" thickBot="1">
      <c r="A77" s="41" t="s">
        <v>58</v>
      </c>
      <c r="B77" s="63">
        <v>0.1</v>
      </c>
      <c r="C77" s="63">
        <v>0</v>
      </c>
      <c r="D77" s="64">
        <v>1</v>
      </c>
      <c r="E77" s="48">
        <v>43216</v>
      </c>
      <c r="F77" s="41">
        <v>24803</v>
      </c>
      <c r="G77" s="41">
        <v>24800</v>
      </c>
      <c r="H77" s="41">
        <v>24800</v>
      </c>
      <c r="I77" s="41">
        <v>58</v>
      </c>
      <c r="J77" s="41">
        <v>62</v>
      </c>
      <c r="K77" s="46">
        <v>0.58680555555555558</v>
      </c>
      <c r="L77" s="41">
        <v>76</v>
      </c>
      <c r="M77" s="41">
        <v>19</v>
      </c>
      <c r="N77" s="43">
        <f t="shared" si="20"/>
        <v>25</v>
      </c>
      <c r="O77" s="77">
        <f>ImpliedCallVolatility(F77,G77,((D77)/365),B77,I77,C77)</f>
        <v>0.10227203369140625</v>
      </c>
      <c r="P77" s="77">
        <f>ImpliedPutVolatility(F77,H77,((D77)/365),B77,J77,C77)</f>
        <v>0.12897491455078125</v>
      </c>
      <c r="Q77" t="str">
        <f t="shared" si="21"/>
        <v>Buy</v>
      </c>
      <c r="R77">
        <f t="shared" si="22"/>
        <v>84</v>
      </c>
      <c r="S77">
        <f t="shared" si="23"/>
        <v>24887</v>
      </c>
      <c r="T77">
        <f t="shared" si="24"/>
        <v>24719</v>
      </c>
      <c r="U77" s="36">
        <v>0.63541666666666663</v>
      </c>
      <c r="V77">
        <v>25021</v>
      </c>
      <c r="AB77">
        <v>24803</v>
      </c>
      <c r="AC77">
        <v>24913</v>
      </c>
      <c r="AE77">
        <f t="shared" si="15"/>
        <v>110</v>
      </c>
      <c r="AF77">
        <f t="shared" si="25"/>
        <v>2852</v>
      </c>
      <c r="AI77">
        <f t="shared" si="16"/>
        <v>50000</v>
      </c>
      <c r="AJ77">
        <f t="shared" si="17"/>
        <v>22000</v>
      </c>
      <c r="AL77">
        <f t="shared" si="18"/>
        <v>72000</v>
      </c>
      <c r="AM77">
        <f t="shared" si="19"/>
        <v>3390500</v>
      </c>
    </row>
    <row r="78" spans="1:40">
      <c r="A78" s="41"/>
      <c r="B78" s="63">
        <v>0.1</v>
      </c>
      <c r="C78" s="63">
        <v>0</v>
      </c>
      <c r="D78" s="64">
        <v>4</v>
      </c>
      <c r="E78" s="42">
        <v>43217</v>
      </c>
      <c r="F78" s="41">
        <v>25231</v>
      </c>
      <c r="G78" s="41">
        <v>25200</v>
      </c>
      <c r="H78" s="41">
        <f>G78</f>
        <v>25200</v>
      </c>
      <c r="I78" s="41">
        <v>153</v>
      </c>
      <c r="J78" s="41">
        <v>151</v>
      </c>
      <c r="K78" s="46">
        <v>0.58333333333333337</v>
      </c>
      <c r="L78" s="41">
        <v>264</v>
      </c>
      <c r="M78" s="41">
        <v>76</v>
      </c>
      <c r="N78" s="43">
        <f t="shared" si="20"/>
        <v>-36</v>
      </c>
      <c r="O78" s="77">
        <f>ImpliedCallVolatility(F78,G78,((D78)/365),B78,I78,C78)</f>
        <v>0.11539459228515625</v>
      </c>
      <c r="P78" s="77">
        <f>ImpliedPutVolatility(F78,H78,((D78)/365),B78,J78,C78)</f>
        <v>0.16986846923828125</v>
      </c>
      <c r="Q78" t="str">
        <f t="shared" si="21"/>
        <v>Buy</v>
      </c>
      <c r="R78">
        <f t="shared" si="22"/>
        <v>212.79999999999998</v>
      </c>
      <c r="S78">
        <f t="shared" si="23"/>
        <v>25443.8</v>
      </c>
      <c r="T78">
        <f t="shared" si="24"/>
        <v>25018.2</v>
      </c>
      <c r="U78" s="36">
        <v>0.63541666666666663</v>
      </c>
      <c r="V78">
        <v>25382</v>
      </c>
      <c r="AB78">
        <v>25231</v>
      </c>
      <c r="AC78">
        <v>25378</v>
      </c>
      <c r="AE78">
        <f t="shared" si="15"/>
        <v>147</v>
      </c>
      <c r="AF78">
        <f t="shared" si="25"/>
        <v>2999</v>
      </c>
      <c r="AI78">
        <f t="shared" si="16"/>
        <v>-72000</v>
      </c>
      <c r="AJ78">
        <f t="shared" si="17"/>
        <v>29400</v>
      </c>
      <c r="AL78">
        <f t="shared" si="18"/>
        <v>-42600</v>
      </c>
      <c r="AM78">
        <f t="shared" si="19"/>
        <v>3347900</v>
      </c>
    </row>
    <row r="79" spans="1:40">
      <c r="A79" s="41"/>
      <c r="B79" s="63">
        <v>0.1</v>
      </c>
      <c r="C79" s="63">
        <v>0</v>
      </c>
      <c r="D79" s="64">
        <v>3</v>
      </c>
      <c r="E79" s="44">
        <v>43220</v>
      </c>
      <c r="F79" s="41">
        <v>25541</v>
      </c>
      <c r="G79" s="41">
        <v>25600</v>
      </c>
      <c r="H79" s="41">
        <v>25600</v>
      </c>
      <c r="I79" s="41">
        <v>145</v>
      </c>
      <c r="J79" s="41">
        <v>93</v>
      </c>
      <c r="K79" s="46">
        <v>0.63541666666666663</v>
      </c>
      <c r="L79" s="41">
        <v>97</v>
      </c>
      <c r="M79" s="41">
        <v>103</v>
      </c>
      <c r="N79" s="43">
        <f t="shared" si="20"/>
        <v>38</v>
      </c>
      <c r="O79" s="77">
        <f>ImpliedCallVolatility(F79,G79,((D79)/365),B79,I79,C79)</f>
        <v>0.17665863037109375</v>
      </c>
      <c r="P79" s="77">
        <f>ImpliedPutVolatility(F79,H79,((D79)/365),B79,J79,C79)</f>
        <v>7.839202880859375E-2</v>
      </c>
      <c r="Q79" t="str">
        <f t="shared" si="21"/>
        <v>Sell</v>
      </c>
      <c r="R79">
        <f t="shared" si="22"/>
        <v>166.6</v>
      </c>
      <c r="S79">
        <f t="shared" si="23"/>
        <v>25707.599999999999</v>
      </c>
      <c r="T79">
        <f t="shared" si="24"/>
        <v>25374.400000000001</v>
      </c>
      <c r="U79" s="36">
        <v>0.63541666666666663</v>
      </c>
      <c r="V79">
        <v>25535</v>
      </c>
      <c r="X79" t="s">
        <v>76</v>
      </c>
      <c r="Y79" s="72">
        <f>SUM(N59:N79)</f>
        <v>413</v>
      </c>
      <c r="AB79">
        <v>25509</v>
      </c>
      <c r="AC79">
        <v>25541</v>
      </c>
      <c r="AE79">
        <f t="shared" si="15"/>
        <v>32</v>
      </c>
      <c r="AF79">
        <f t="shared" si="25"/>
        <v>3031</v>
      </c>
      <c r="AG79">
        <f>SUM(AE59:AE79)</f>
        <v>566</v>
      </c>
      <c r="AI79">
        <f t="shared" si="16"/>
        <v>76000</v>
      </c>
      <c r="AJ79">
        <f t="shared" si="17"/>
        <v>6400</v>
      </c>
      <c r="AL79">
        <f t="shared" si="18"/>
        <v>82400</v>
      </c>
      <c r="AM79">
        <f t="shared" si="19"/>
        <v>3430300</v>
      </c>
      <c r="AN79">
        <f>AM79-AM58</f>
        <v>939200</v>
      </c>
    </row>
    <row r="80" spans="1:40">
      <c r="A80" s="41" t="s">
        <v>57</v>
      </c>
      <c r="B80" s="63">
        <v>0.1</v>
      </c>
      <c r="C80" s="63">
        <v>0</v>
      </c>
      <c r="D80" s="64">
        <v>2</v>
      </c>
      <c r="E80" s="44">
        <v>43222</v>
      </c>
      <c r="F80" s="41">
        <v>25628</v>
      </c>
      <c r="G80" s="41">
        <v>25600</v>
      </c>
      <c r="H80" s="41">
        <f t="shared" ref="H80:H97" si="26">G80</f>
        <v>25600</v>
      </c>
      <c r="I80" s="41">
        <v>74</v>
      </c>
      <c r="J80" s="41">
        <v>94</v>
      </c>
      <c r="K80" s="46">
        <v>0.63541666666666663</v>
      </c>
      <c r="L80" s="41">
        <v>78</v>
      </c>
      <c r="M80" s="41">
        <v>65</v>
      </c>
      <c r="N80" s="43">
        <f t="shared" si="20"/>
        <v>25</v>
      </c>
      <c r="O80" s="77">
        <f>ImpliedCallVolatility(F80,G80,((D80)/365),B80,I80,C80)</f>
        <v>6.641387939453125E-2</v>
      </c>
      <c r="P80" s="77">
        <f>ImpliedPutVolatility(F80,H80,((D80)/365),B80,J80,C80)</f>
        <v>0.15048980712890625</v>
      </c>
      <c r="Q80" t="str">
        <f t="shared" si="21"/>
        <v>Buy</v>
      </c>
      <c r="R80">
        <f t="shared" si="22"/>
        <v>117.6</v>
      </c>
      <c r="S80">
        <f t="shared" si="23"/>
        <v>25745.599999999999</v>
      </c>
      <c r="T80">
        <f t="shared" si="24"/>
        <v>25510.400000000001</v>
      </c>
      <c r="U80" s="36">
        <v>0.63541666666666663</v>
      </c>
      <c r="V80">
        <v>25583</v>
      </c>
      <c r="AB80">
        <v>25627</v>
      </c>
      <c r="AC80">
        <v>25573</v>
      </c>
      <c r="AE80">
        <f t="shared" si="15"/>
        <v>-54</v>
      </c>
      <c r="AF80">
        <f t="shared" si="25"/>
        <v>2977</v>
      </c>
      <c r="AI80">
        <f t="shared" si="16"/>
        <v>50000</v>
      </c>
      <c r="AJ80">
        <f t="shared" si="17"/>
        <v>-10800</v>
      </c>
      <c r="AL80">
        <f t="shared" si="18"/>
        <v>39200</v>
      </c>
      <c r="AM80">
        <f t="shared" si="19"/>
        <v>3469500</v>
      </c>
    </row>
    <row r="81" spans="1:39" ht="13.5" thickBot="1">
      <c r="A81" s="41" t="s">
        <v>58</v>
      </c>
      <c r="B81" s="63">
        <v>0.1</v>
      </c>
      <c r="C81" s="63">
        <v>0</v>
      </c>
      <c r="D81" s="64">
        <v>1</v>
      </c>
      <c r="E81" s="48">
        <v>43223</v>
      </c>
      <c r="F81" s="41">
        <v>25513</v>
      </c>
      <c r="G81" s="41">
        <v>25600</v>
      </c>
      <c r="H81" s="41">
        <f t="shared" si="26"/>
        <v>25600</v>
      </c>
      <c r="I81" s="41">
        <v>52</v>
      </c>
      <c r="J81" s="41">
        <v>48</v>
      </c>
      <c r="K81" s="46">
        <v>0.41666666666666669</v>
      </c>
      <c r="L81" s="41">
        <v>16</v>
      </c>
      <c r="M81" s="41">
        <v>78</v>
      </c>
      <c r="N81" s="43">
        <f t="shared" si="20"/>
        <v>6</v>
      </c>
      <c r="O81" s="77">
        <f>ImpliedCallVolatility(F81,G81,((D81)/365),B81,I81,C81)</f>
        <v>0.16147613525390625</v>
      </c>
      <c r="P81" s="77">
        <f>ImpliedPutVolatility(F81,H81,((D81)/365),B81,J81,C81)</f>
        <v>3.814697265625E-5</v>
      </c>
      <c r="Q81" t="str">
        <f t="shared" si="21"/>
        <v>Sell</v>
      </c>
      <c r="R81">
        <f t="shared" si="22"/>
        <v>70</v>
      </c>
      <c r="S81">
        <f t="shared" si="23"/>
        <v>25583</v>
      </c>
      <c r="T81">
        <f t="shared" si="24"/>
        <v>25443</v>
      </c>
      <c r="U81" s="36">
        <v>0.63541666666666663</v>
      </c>
      <c r="V81">
        <v>25600</v>
      </c>
      <c r="AB81">
        <v>25512</v>
      </c>
      <c r="AC81">
        <v>25615</v>
      </c>
      <c r="AE81">
        <f t="shared" si="15"/>
        <v>103</v>
      </c>
      <c r="AF81">
        <f t="shared" si="25"/>
        <v>3080</v>
      </c>
      <c r="AI81">
        <f t="shared" si="16"/>
        <v>12000</v>
      </c>
      <c r="AJ81">
        <f t="shared" si="17"/>
        <v>20600</v>
      </c>
      <c r="AL81">
        <f t="shared" si="18"/>
        <v>32600</v>
      </c>
      <c r="AM81">
        <f t="shared" si="19"/>
        <v>3502100</v>
      </c>
    </row>
    <row r="82" spans="1:39">
      <c r="A82" s="41"/>
      <c r="B82" s="63">
        <v>0.1</v>
      </c>
      <c r="C82" s="63">
        <v>0</v>
      </c>
      <c r="D82" s="64">
        <v>5</v>
      </c>
      <c r="E82" s="42">
        <v>43224</v>
      </c>
      <c r="F82" s="41">
        <v>25598</v>
      </c>
      <c r="G82" s="41">
        <v>25600</v>
      </c>
      <c r="H82" s="41">
        <f t="shared" si="26"/>
        <v>25600</v>
      </c>
      <c r="I82" s="41">
        <v>191</v>
      </c>
      <c r="J82" s="41">
        <v>131</v>
      </c>
      <c r="K82" s="46">
        <v>0.63541666666666663</v>
      </c>
      <c r="L82" s="41">
        <v>178</v>
      </c>
      <c r="M82" s="41">
        <v>129</v>
      </c>
      <c r="N82" s="43">
        <f t="shared" si="20"/>
        <v>15</v>
      </c>
      <c r="O82" s="77">
        <f>ImpliedCallVolatility(F82,G82,((D82)/365),B82,I82,C82)</f>
        <v>0.14568328857421875</v>
      </c>
      <c r="P82" s="77">
        <f>ImpliedPutVolatility(F82,H82,((D82)/365),B82,J82,C82)</f>
        <v>0.12302398681640625</v>
      </c>
      <c r="Q82" t="str">
        <f t="shared" si="21"/>
        <v>Sell</v>
      </c>
      <c r="R82">
        <f t="shared" si="22"/>
        <v>225.39999999999998</v>
      </c>
      <c r="S82">
        <f t="shared" si="23"/>
        <v>25823.4</v>
      </c>
      <c r="T82">
        <f t="shared" si="24"/>
        <v>25372.6</v>
      </c>
      <c r="U82" s="36">
        <v>0.63541666666666663</v>
      </c>
      <c r="V82">
        <v>25636</v>
      </c>
      <c r="AB82">
        <v>25639</v>
      </c>
      <c r="AC82">
        <v>25598</v>
      </c>
      <c r="AE82">
        <f t="shared" si="15"/>
        <v>-41</v>
      </c>
      <c r="AF82">
        <f t="shared" si="25"/>
        <v>3039</v>
      </c>
      <c r="AI82">
        <f t="shared" si="16"/>
        <v>30000</v>
      </c>
      <c r="AJ82">
        <f t="shared" si="17"/>
        <v>-8200</v>
      </c>
      <c r="AL82">
        <f t="shared" si="18"/>
        <v>21800</v>
      </c>
      <c r="AM82">
        <f t="shared" si="19"/>
        <v>3523900</v>
      </c>
    </row>
    <row r="83" spans="1:39">
      <c r="A83" s="41"/>
      <c r="B83" s="63">
        <v>0.1</v>
      </c>
      <c r="C83" s="63">
        <v>0</v>
      </c>
      <c r="D83" s="64">
        <v>4</v>
      </c>
      <c r="E83" s="44">
        <v>43227</v>
      </c>
      <c r="F83" s="41">
        <v>25743</v>
      </c>
      <c r="G83" s="41">
        <v>25700</v>
      </c>
      <c r="H83" s="41">
        <f t="shared" si="26"/>
        <v>25700</v>
      </c>
      <c r="I83" s="41">
        <v>159</v>
      </c>
      <c r="J83" s="41">
        <v>116</v>
      </c>
      <c r="K83" s="46">
        <v>0.63541666666666663</v>
      </c>
      <c r="L83" s="41">
        <v>185</v>
      </c>
      <c r="M83" s="41">
        <v>90</v>
      </c>
      <c r="N83" s="43">
        <f t="shared" si="20"/>
        <v>0</v>
      </c>
      <c r="O83" s="77">
        <f>ImpliedCallVolatility(F83,G83,((D83)/365),B83,I83,C83)</f>
        <v>0.11188507080078125</v>
      </c>
      <c r="P83" s="77">
        <f>ImpliedPutVolatility(F83,H83,((D83)/365),B83,J83,C83)</f>
        <v>0.13866424560546875</v>
      </c>
      <c r="Q83" t="str">
        <f t="shared" si="21"/>
        <v>Buy</v>
      </c>
      <c r="R83">
        <f t="shared" si="22"/>
        <v>192.5</v>
      </c>
      <c r="S83">
        <f t="shared" si="23"/>
        <v>25935.5</v>
      </c>
      <c r="T83">
        <f t="shared" si="24"/>
        <v>25550.5</v>
      </c>
      <c r="U83" s="36">
        <v>0.63541666666666663</v>
      </c>
      <c r="V83">
        <v>25841</v>
      </c>
      <c r="AB83">
        <v>25742</v>
      </c>
      <c r="AC83">
        <v>25825</v>
      </c>
      <c r="AE83">
        <f t="shared" si="15"/>
        <v>83</v>
      </c>
      <c r="AF83">
        <f t="shared" si="25"/>
        <v>3122</v>
      </c>
      <c r="AI83">
        <f t="shared" si="16"/>
        <v>0</v>
      </c>
      <c r="AJ83">
        <f t="shared" si="17"/>
        <v>16600</v>
      </c>
      <c r="AL83">
        <f t="shared" si="18"/>
        <v>16600</v>
      </c>
      <c r="AM83">
        <f t="shared" si="19"/>
        <v>3540500</v>
      </c>
    </row>
    <row r="84" spans="1:39">
      <c r="A84" s="41"/>
      <c r="B84" s="63">
        <v>0.1</v>
      </c>
      <c r="C84" s="63">
        <v>0</v>
      </c>
      <c r="D84" s="64">
        <v>3</v>
      </c>
      <c r="E84" s="44">
        <v>43228</v>
      </c>
      <c r="F84" s="41">
        <v>26012</v>
      </c>
      <c r="G84" s="41">
        <v>26000</v>
      </c>
      <c r="H84" s="41">
        <f t="shared" si="26"/>
        <v>26000</v>
      </c>
      <c r="I84" s="41">
        <v>92</v>
      </c>
      <c r="J84" s="41">
        <v>139</v>
      </c>
      <c r="K84" s="46">
        <v>0.61458333333333337</v>
      </c>
      <c r="L84" s="41">
        <v>85</v>
      </c>
      <c r="M84" s="41">
        <v>140</v>
      </c>
      <c r="N84" s="43">
        <f t="shared" si="20"/>
        <v>6</v>
      </c>
      <c r="O84" s="77">
        <f>ImpliedCallVolatility(F84,G84,((D84)/365),B84,I84,C84)</f>
        <v>7.884979248046875E-2</v>
      </c>
      <c r="P84" s="77">
        <f>ImpliedPutVolatility(F84,H84,((D84)/365),B84,J84,C84)</f>
        <v>0.16498565673828125</v>
      </c>
      <c r="Q84" t="str">
        <f t="shared" si="21"/>
        <v>Buy</v>
      </c>
      <c r="R84">
        <f t="shared" si="22"/>
        <v>161.69999999999999</v>
      </c>
      <c r="S84">
        <f t="shared" si="23"/>
        <v>26173.7</v>
      </c>
      <c r="T84">
        <f t="shared" si="24"/>
        <v>25850.3</v>
      </c>
      <c r="U84" s="36">
        <v>0.63541666666666663</v>
      </c>
      <c r="V84">
        <v>26089</v>
      </c>
      <c r="AB84">
        <v>26012</v>
      </c>
      <c r="AC84">
        <v>26068</v>
      </c>
      <c r="AE84">
        <f t="shared" si="15"/>
        <v>56</v>
      </c>
      <c r="AF84">
        <f t="shared" si="25"/>
        <v>3178</v>
      </c>
      <c r="AI84">
        <f t="shared" si="16"/>
        <v>12000</v>
      </c>
      <c r="AJ84">
        <f t="shared" si="17"/>
        <v>11200</v>
      </c>
      <c r="AL84">
        <f t="shared" si="18"/>
        <v>23200</v>
      </c>
      <c r="AM84">
        <f t="shared" si="19"/>
        <v>3563700</v>
      </c>
    </row>
    <row r="85" spans="1:39">
      <c r="A85" s="41" t="s">
        <v>57</v>
      </c>
      <c r="B85" s="63">
        <v>0.1</v>
      </c>
      <c r="C85" s="63">
        <v>0</v>
      </c>
      <c r="D85" s="64">
        <v>2</v>
      </c>
      <c r="E85" s="44">
        <v>43229</v>
      </c>
      <c r="F85" s="41">
        <v>26005</v>
      </c>
      <c r="G85" s="41">
        <v>26000</v>
      </c>
      <c r="H85" s="41">
        <f t="shared" si="26"/>
        <v>26000</v>
      </c>
      <c r="I85" s="41">
        <v>85</v>
      </c>
      <c r="J85" s="41">
        <v>104</v>
      </c>
      <c r="K85" s="46">
        <v>0.45833333333333331</v>
      </c>
      <c r="L85" s="41">
        <v>110</v>
      </c>
      <c r="M85" s="41">
        <v>88</v>
      </c>
      <c r="N85" s="43">
        <f t="shared" si="20"/>
        <v>-9</v>
      </c>
      <c r="O85" s="77">
        <f>ImpliedCallVolatility(F85,G85,((D85)/365),B85,I85,C85)</f>
        <v>9.769439697265625E-2</v>
      </c>
      <c r="P85" s="77">
        <f>ImpliedPutVolatility(F85,H85,((D85)/365),B85,J85,C85)</f>
        <v>0.14766693115234375</v>
      </c>
      <c r="Q85" t="str">
        <f t="shared" si="21"/>
        <v>Buy</v>
      </c>
      <c r="R85">
        <f t="shared" si="22"/>
        <v>132.29999999999998</v>
      </c>
      <c r="S85">
        <f t="shared" si="23"/>
        <v>26137.3</v>
      </c>
      <c r="T85">
        <f t="shared" si="24"/>
        <v>25872.7</v>
      </c>
      <c r="U85" s="36">
        <v>0.61458333333333337</v>
      </c>
      <c r="V85">
        <v>26206</v>
      </c>
      <c r="AB85">
        <v>26005</v>
      </c>
      <c r="AC85">
        <v>26133</v>
      </c>
      <c r="AE85">
        <f t="shared" si="15"/>
        <v>128</v>
      </c>
      <c r="AF85">
        <f t="shared" si="25"/>
        <v>3306</v>
      </c>
      <c r="AI85">
        <f t="shared" si="16"/>
        <v>-18000</v>
      </c>
      <c r="AJ85">
        <f t="shared" si="17"/>
        <v>25600</v>
      </c>
      <c r="AL85">
        <f t="shared" si="18"/>
        <v>7600</v>
      </c>
      <c r="AM85">
        <f t="shared" si="19"/>
        <v>3571300</v>
      </c>
    </row>
    <row r="86" spans="1:39" ht="13.5" thickBot="1">
      <c r="A86" s="41" t="s">
        <v>58</v>
      </c>
      <c r="B86" s="63">
        <v>0.1</v>
      </c>
      <c r="C86" s="63">
        <v>0</v>
      </c>
      <c r="D86" s="64">
        <v>1</v>
      </c>
      <c r="E86" s="48">
        <v>43230</v>
      </c>
      <c r="F86" s="41">
        <v>26217</v>
      </c>
      <c r="G86" s="41">
        <v>26200</v>
      </c>
      <c r="H86" s="41">
        <f t="shared" si="26"/>
        <v>26200</v>
      </c>
      <c r="I86" s="41">
        <v>42</v>
      </c>
      <c r="J86" s="41">
        <v>63</v>
      </c>
      <c r="K86" s="46">
        <v>0.54166666666666663</v>
      </c>
      <c r="L86" s="41">
        <v>12</v>
      </c>
      <c r="M86" s="41">
        <v>94</v>
      </c>
      <c r="N86" s="43">
        <f t="shared" si="20"/>
        <v>-1</v>
      </c>
      <c r="O86" s="77">
        <f>ImpliedCallVolatility(F86,G86,((D86)/365),B86,I86,C86)</f>
        <v>5.168914794921875E-2</v>
      </c>
      <c r="P86" s="77">
        <f>ImpliedPutVolatility(F86,H86,((D86)/365),B86,J86,C86)</f>
        <v>0.13607025146484375</v>
      </c>
      <c r="Q86" t="str">
        <f t="shared" si="21"/>
        <v>Buy</v>
      </c>
      <c r="R86">
        <f t="shared" si="22"/>
        <v>73.5</v>
      </c>
      <c r="S86">
        <f t="shared" si="23"/>
        <v>26290.5</v>
      </c>
      <c r="T86">
        <f t="shared" si="24"/>
        <v>26143.5</v>
      </c>
      <c r="U86" s="36">
        <v>0.63541666666666663</v>
      </c>
      <c r="V86">
        <v>26143</v>
      </c>
      <c r="AB86">
        <v>26217</v>
      </c>
      <c r="AC86">
        <v>26175</v>
      </c>
      <c r="AE86">
        <f t="shared" si="15"/>
        <v>-42</v>
      </c>
      <c r="AF86">
        <f t="shared" si="25"/>
        <v>3264</v>
      </c>
      <c r="AI86">
        <f t="shared" si="16"/>
        <v>-2000</v>
      </c>
      <c r="AJ86">
        <f t="shared" si="17"/>
        <v>-8400</v>
      </c>
      <c r="AL86">
        <f t="shared" si="18"/>
        <v>-10400</v>
      </c>
      <c r="AM86">
        <f t="shared" si="19"/>
        <v>3560900</v>
      </c>
    </row>
    <row r="87" spans="1:39">
      <c r="A87" s="41"/>
      <c r="B87" s="63">
        <v>0.1</v>
      </c>
      <c r="C87" s="63">
        <v>0</v>
      </c>
      <c r="D87" s="64">
        <v>5</v>
      </c>
      <c r="E87" s="42">
        <v>43231</v>
      </c>
      <c r="F87" s="41">
        <v>26155</v>
      </c>
      <c r="G87" s="41">
        <v>26200</v>
      </c>
      <c r="H87" s="41">
        <f t="shared" si="26"/>
        <v>26200</v>
      </c>
      <c r="I87" s="41">
        <v>207</v>
      </c>
      <c r="J87" s="41">
        <v>283</v>
      </c>
      <c r="K87" s="46">
        <v>0.58333333333333337</v>
      </c>
      <c r="L87" s="41">
        <v>243</v>
      </c>
      <c r="M87" s="41">
        <v>222</v>
      </c>
      <c r="N87" s="43">
        <f t="shared" si="20"/>
        <v>25</v>
      </c>
      <c r="O87" s="77">
        <f>ImpliedCallVolatility(F87,G87,((D87)/365),B87,I87,C87)</f>
        <v>0.17314910888671875</v>
      </c>
      <c r="P87" s="77">
        <f>ImpliedPutVolatility(F87,H87,((D87)/365),B87,J87,C87)</f>
        <v>0.22792816162109375</v>
      </c>
      <c r="Q87" t="str">
        <f t="shared" si="21"/>
        <v>Buy</v>
      </c>
      <c r="R87">
        <f t="shared" si="22"/>
        <v>343</v>
      </c>
      <c r="S87">
        <f t="shared" si="23"/>
        <v>26498</v>
      </c>
      <c r="T87">
        <f t="shared" si="24"/>
        <v>25812</v>
      </c>
      <c r="U87" s="36">
        <v>0.625</v>
      </c>
      <c r="V87">
        <v>26367</v>
      </c>
      <c r="AB87">
        <v>26155</v>
      </c>
      <c r="AC87">
        <v>26366</v>
      </c>
      <c r="AE87">
        <f t="shared" si="15"/>
        <v>211</v>
      </c>
      <c r="AF87">
        <f t="shared" si="25"/>
        <v>3475</v>
      </c>
      <c r="AI87">
        <f t="shared" si="16"/>
        <v>50000</v>
      </c>
      <c r="AJ87">
        <f t="shared" si="17"/>
        <v>42200</v>
      </c>
      <c r="AL87">
        <f t="shared" si="18"/>
        <v>92200</v>
      </c>
      <c r="AM87">
        <f t="shared" si="19"/>
        <v>3653100</v>
      </c>
    </row>
    <row r="88" spans="1:39">
      <c r="A88" s="41"/>
      <c r="B88" s="63">
        <v>0.1</v>
      </c>
      <c r="C88" s="63">
        <v>0</v>
      </c>
      <c r="D88" s="64">
        <v>4</v>
      </c>
      <c r="E88" s="44">
        <v>43234</v>
      </c>
      <c r="F88" s="41">
        <v>26500</v>
      </c>
      <c r="G88" s="41">
        <v>26500</v>
      </c>
      <c r="H88" s="41">
        <f t="shared" si="26"/>
        <v>26500</v>
      </c>
      <c r="I88" s="41">
        <v>193</v>
      </c>
      <c r="J88" s="41">
        <v>221</v>
      </c>
      <c r="K88" s="46">
        <v>0.63541666666666663</v>
      </c>
      <c r="L88" s="41">
        <v>203</v>
      </c>
      <c r="M88" s="41">
        <v>248</v>
      </c>
      <c r="N88" s="43">
        <f t="shared" si="20"/>
        <v>-37</v>
      </c>
      <c r="O88" s="77">
        <f>ImpliedCallVolatility(F88,G88,((D88)/365),B88,I88,C88)</f>
        <v>0.16101837158203125</v>
      </c>
      <c r="P88" s="77">
        <f>ImpliedPutVolatility(F88,H88,((D88)/365),B88,J88,C88)</f>
        <v>0.21266937255859375</v>
      </c>
      <c r="Q88" t="str">
        <f t="shared" si="21"/>
        <v>Buy</v>
      </c>
      <c r="R88">
        <f t="shared" si="22"/>
        <v>289.79999999999995</v>
      </c>
      <c r="S88">
        <f t="shared" si="23"/>
        <v>26789.8</v>
      </c>
      <c r="T88">
        <f t="shared" si="24"/>
        <v>26210.2</v>
      </c>
      <c r="U88" s="36">
        <v>0.63541666666666663</v>
      </c>
      <c r="V88">
        <v>26490</v>
      </c>
      <c r="AB88">
        <v>26500</v>
      </c>
      <c r="AC88">
        <v>26375</v>
      </c>
      <c r="AE88">
        <f t="shared" si="15"/>
        <v>-125</v>
      </c>
      <c r="AF88">
        <f t="shared" si="25"/>
        <v>3350</v>
      </c>
      <c r="AI88">
        <f t="shared" si="16"/>
        <v>-74000</v>
      </c>
      <c r="AJ88">
        <f t="shared" si="17"/>
        <v>-25000</v>
      </c>
      <c r="AL88">
        <f t="shared" si="18"/>
        <v>-99000</v>
      </c>
      <c r="AM88">
        <f t="shared" si="19"/>
        <v>3554100</v>
      </c>
    </row>
    <row r="89" spans="1:39">
      <c r="A89" s="41"/>
      <c r="B89" s="63">
        <v>0.1</v>
      </c>
      <c r="C89" s="63">
        <v>0</v>
      </c>
      <c r="D89" s="64">
        <v>3</v>
      </c>
      <c r="E89" s="44">
        <v>43235</v>
      </c>
      <c r="F89" s="41">
        <v>26677</v>
      </c>
      <c r="G89" s="41">
        <v>26700</v>
      </c>
      <c r="H89" s="41">
        <f t="shared" si="26"/>
        <v>26700</v>
      </c>
      <c r="I89" s="41">
        <v>162</v>
      </c>
      <c r="J89" s="41">
        <v>202</v>
      </c>
      <c r="K89" s="46">
        <v>0.41666666666666669</v>
      </c>
      <c r="L89" s="41">
        <v>260</v>
      </c>
      <c r="M89" s="41">
        <v>69</v>
      </c>
      <c r="N89" s="43">
        <f t="shared" si="20"/>
        <v>35</v>
      </c>
      <c r="O89" s="77">
        <f>ImpliedCallVolatility(F89,G89,((D89)/365),B89,I89,C89)</f>
        <v>0.16841888427734375</v>
      </c>
      <c r="P89" s="77">
        <f>ImpliedPutVolatility(F89,H89,((D89)/365),B89,J89,C89)</f>
        <v>0.20877838134765625</v>
      </c>
      <c r="Q89" t="str">
        <f t="shared" si="21"/>
        <v>Buy</v>
      </c>
      <c r="R89">
        <f t="shared" si="22"/>
        <v>254.79999999999998</v>
      </c>
      <c r="S89">
        <f t="shared" si="23"/>
        <v>26931.8</v>
      </c>
      <c r="T89">
        <f t="shared" si="24"/>
        <v>26422.2</v>
      </c>
      <c r="U89" s="36">
        <v>0.42708333333333331</v>
      </c>
      <c r="V89">
        <v>26960</v>
      </c>
      <c r="AB89">
        <v>26677</v>
      </c>
      <c r="AC89">
        <v>26624</v>
      </c>
      <c r="AE89">
        <f t="shared" si="15"/>
        <v>-53</v>
      </c>
      <c r="AF89">
        <f t="shared" si="25"/>
        <v>3297</v>
      </c>
      <c r="AI89">
        <f t="shared" si="16"/>
        <v>70000</v>
      </c>
      <c r="AJ89">
        <f t="shared" si="17"/>
        <v>-10600</v>
      </c>
      <c r="AL89">
        <f t="shared" si="18"/>
        <v>59400</v>
      </c>
      <c r="AM89">
        <f t="shared" si="19"/>
        <v>3613500</v>
      </c>
    </row>
    <row r="90" spans="1:39">
      <c r="A90" s="41" t="s">
        <v>57</v>
      </c>
      <c r="B90" s="63">
        <v>0.1</v>
      </c>
      <c r="C90" s="63">
        <v>0</v>
      </c>
      <c r="D90" s="64">
        <v>2</v>
      </c>
      <c r="E90" s="44">
        <v>43236</v>
      </c>
      <c r="F90" s="41">
        <v>26211</v>
      </c>
      <c r="G90" s="41">
        <v>26200</v>
      </c>
      <c r="H90" s="41">
        <f t="shared" si="26"/>
        <v>26200</v>
      </c>
      <c r="I90" s="41">
        <v>127</v>
      </c>
      <c r="J90" s="41">
        <v>108</v>
      </c>
      <c r="K90" s="46">
        <v>0.54166666666666663</v>
      </c>
      <c r="L90" s="41">
        <v>225</v>
      </c>
      <c r="M90" s="41">
        <v>35</v>
      </c>
      <c r="N90" s="43">
        <f t="shared" si="20"/>
        <v>-25</v>
      </c>
      <c r="O90" s="77">
        <f>ImpliedCallVolatility(F90,G90,((D90)/365),B90,I90,C90)</f>
        <v>0.14720916748046875</v>
      </c>
      <c r="P90" s="77">
        <f>ImpliedPutVolatility(F90,H90,((D90)/365),B90,J90,C90)</f>
        <v>0.15544891357421875</v>
      </c>
      <c r="Q90" t="str">
        <f t="shared" si="21"/>
        <v>Buy</v>
      </c>
      <c r="R90">
        <f t="shared" si="22"/>
        <v>164.5</v>
      </c>
      <c r="S90">
        <f t="shared" si="23"/>
        <v>26375.5</v>
      </c>
      <c r="T90">
        <f t="shared" si="24"/>
        <v>26046.5</v>
      </c>
      <c r="U90" s="36">
        <v>0.5625</v>
      </c>
      <c r="V90">
        <v>26428</v>
      </c>
      <c r="AB90">
        <v>26211</v>
      </c>
      <c r="AC90">
        <v>26143</v>
      </c>
      <c r="AE90">
        <f t="shared" si="15"/>
        <v>-68</v>
      </c>
      <c r="AF90">
        <f t="shared" si="25"/>
        <v>3229</v>
      </c>
      <c r="AI90">
        <f t="shared" si="16"/>
        <v>-50000</v>
      </c>
      <c r="AJ90">
        <f t="shared" si="17"/>
        <v>-13600</v>
      </c>
      <c r="AL90">
        <f t="shared" si="18"/>
        <v>-63600</v>
      </c>
      <c r="AM90">
        <f t="shared" si="19"/>
        <v>3549900</v>
      </c>
    </row>
    <row r="91" spans="1:39" ht="13.5" thickBot="1">
      <c r="A91" s="41" t="s">
        <v>58</v>
      </c>
      <c r="B91" s="63">
        <v>0.1</v>
      </c>
      <c r="C91" s="63">
        <v>0</v>
      </c>
      <c r="D91" s="64">
        <v>1</v>
      </c>
      <c r="E91" s="48">
        <v>43237</v>
      </c>
      <c r="F91" s="41">
        <v>26263</v>
      </c>
      <c r="G91" s="41">
        <v>26200</v>
      </c>
      <c r="H91" s="41">
        <f t="shared" si="26"/>
        <v>26200</v>
      </c>
      <c r="I91" s="41">
        <v>84</v>
      </c>
      <c r="J91" s="41">
        <v>30</v>
      </c>
      <c r="K91" s="46">
        <v>0.39930555555555558</v>
      </c>
      <c r="L91" s="41">
        <v>91</v>
      </c>
      <c r="M91" s="41">
        <v>25</v>
      </c>
      <c r="N91" s="43">
        <f t="shared" si="20"/>
        <v>-2</v>
      </c>
      <c r="O91" s="77">
        <f>ImpliedCallVolatility(F91,G91,((D91)/365),B91,I91,C91)</f>
        <v>7.183074951171875E-2</v>
      </c>
      <c r="P91" s="77">
        <f>ImpliedPutVolatility(F91,H91,((D91)/365),B91,J91,C91)</f>
        <v>0.10684967041015625</v>
      </c>
      <c r="Q91" t="str">
        <f t="shared" si="21"/>
        <v>Buy</v>
      </c>
      <c r="R91">
        <f t="shared" si="22"/>
        <v>79.8</v>
      </c>
      <c r="S91">
        <f t="shared" si="23"/>
        <v>26342.799999999999</v>
      </c>
      <c r="T91">
        <f t="shared" si="24"/>
        <v>26183.200000000001</v>
      </c>
      <c r="U91" s="36">
        <v>0.58333333333333337</v>
      </c>
      <c r="V91">
        <v>26031</v>
      </c>
      <c r="AB91">
        <v>26263</v>
      </c>
      <c r="AC91">
        <v>26063</v>
      </c>
      <c r="AE91">
        <f t="shared" si="15"/>
        <v>-200</v>
      </c>
      <c r="AF91">
        <f t="shared" si="25"/>
        <v>3029</v>
      </c>
      <c r="AI91">
        <f t="shared" si="16"/>
        <v>-4000</v>
      </c>
      <c r="AJ91">
        <f t="shared" si="17"/>
        <v>-40000</v>
      </c>
      <c r="AL91">
        <f t="shared" si="18"/>
        <v>-44000</v>
      </c>
      <c r="AM91">
        <f t="shared" si="19"/>
        <v>3505900</v>
      </c>
    </row>
    <row r="92" spans="1:39">
      <c r="A92" s="41"/>
      <c r="B92" s="63">
        <v>0.1</v>
      </c>
      <c r="C92" s="63">
        <v>0</v>
      </c>
      <c r="D92" s="64">
        <v>5</v>
      </c>
      <c r="E92" s="42">
        <v>43238</v>
      </c>
      <c r="F92" s="41">
        <v>25957</v>
      </c>
      <c r="G92" s="41">
        <v>26000</v>
      </c>
      <c r="H92" s="41">
        <f t="shared" si="26"/>
        <v>26000</v>
      </c>
      <c r="I92" s="41">
        <v>166</v>
      </c>
      <c r="J92" s="41">
        <v>208</v>
      </c>
      <c r="K92" s="46">
        <v>0.63541666666666663</v>
      </c>
      <c r="L92" s="41">
        <v>130</v>
      </c>
      <c r="M92" s="41">
        <v>246</v>
      </c>
      <c r="N92" s="43">
        <f t="shared" si="20"/>
        <v>-2</v>
      </c>
      <c r="O92" s="77">
        <f>ImpliedCallVolatility(F92,G92,((D92)/365),B92,I92,C92)</f>
        <v>0.13996124267578125</v>
      </c>
      <c r="P92" s="77">
        <f>ImpliedPutVolatility(F92,H92,((D92)/365),B92,J92,C92)</f>
        <v>0.16849517822265625</v>
      </c>
      <c r="Q92" t="str">
        <f t="shared" si="21"/>
        <v>Buy</v>
      </c>
      <c r="R92">
        <f t="shared" si="22"/>
        <v>261.8</v>
      </c>
      <c r="S92">
        <f t="shared" si="23"/>
        <v>26218.799999999999</v>
      </c>
      <c r="T92">
        <f t="shared" si="24"/>
        <v>25695.200000000001</v>
      </c>
      <c r="U92" s="36">
        <v>0.63541666666666663</v>
      </c>
      <c r="V92">
        <v>25886</v>
      </c>
      <c r="AB92">
        <v>25956</v>
      </c>
      <c r="AC92">
        <v>25861</v>
      </c>
      <c r="AE92">
        <f t="shared" si="15"/>
        <v>-95</v>
      </c>
      <c r="AF92">
        <f t="shared" si="25"/>
        <v>2934</v>
      </c>
      <c r="AI92">
        <f t="shared" si="16"/>
        <v>-4000</v>
      </c>
      <c r="AJ92">
        <f t="shared" si="17"/>
        <v>-19000</v>
      </c>
      <c r="AL92">
        <f t="shared" si="18"/>
        <v>-23000</v>
      </c>
      <c r="AM92">
        <f t="shared" si="19"/>
        <v>3482900</v>
      </c>
    </row>
    <row r="93" spans="1:39">
      <c r="A93" s="41"/>
      <c r="B93" s="63">
        <v>0.1</v>
      </c>
      <c r="C93" s="63">
        <v>0</v>
      </c>
      <c r="D93" s="64">
        <v>4</v>
      </c>
      <c r="E93" s="44">
        <v>43241</v>
      </c>
      <c r="F93" s="41">
        <v>25958</v>
      </c>
      <c r="G93" s="41">
        <v>26000</v>
      </c>
      <c r="H93" s="41">
        <f t="shared" si="26"/>
        <v>26000</v>
      </c>
      <c r="I93" s="41">
        <v>142</v>
      </c>
      <c r="J93" s="41">
        <v>181</v>
      </c>
      <c r="K93" s="46">
        <v>0.47916666666666669</v>
      </c>
      <c r="L93" s="41">
        <v>82</v>
      </c>
      <c r="M93" s="41">
        <v>281</v>
      </c>
      <c r="N93" s="43">
        <f t="shared" si="20"/>
        <v>-40</v>
      </c>
      <c r="O93" s="77">
        <f>ImpliedCallVolatility(F93,G93,((D93)/365),B93,I93,C93)</f>
        <v>0.13706207275390625</v>
      </c>
      <c r="P93" s="77">
        <f>ImpliedPutVolatility(F93,H93,((D93)/365),B93,J93,C93)</f>
        <v>0.16063690185546875</v>
      </c>
      <c r="Q93" t="str">
        <f t="shared" si="21"/>
        <v>Buy</v>
      </c>
      <c r="R93">
        <f t="shared" si="22"/>
        <v>226.1</v>
      </c>
      <c r="S93">
        <f t="shared" si="23"/>
        <v>26184.1</v>
      </c>
      <c r="T93">
        <f t="shared" si="24"/>
        <v>25731.9</v>
      </c>
      <c r="U93" s="36">
        <v>0.48958333333333331</v>
      </c>
      <c r="V93">
        <v>25741</v>
      </c>
      <c r="AB93">
        <v>25958</v>
      </c>
      <c r="AC93">
        <v>25808</v>
      </c>
      <c r="AE93">
        <f t="shared" si="15"/>
        <v>-150</v>
      </c>
      <c r="AF93">
        <f t="shared" si="25"/>
        <v>2784</v>
      </c>
      <c r="AI93">
        <f t="shared" si="16"/>
        <v>-80000</v>
      </c>
      <c r="AJ93">
        <f t="shared" si="17"/>
        <v>-30000</v>
      </c>
      <c r="AL93">
        <f t="shared" si="18"/>
        <v>-110000</v>
      </c>
      <c r="AM93">
        <f t="shared" si="19"/>
        <v>3372900</v>
      </c>
    </row>
    <row r="94" spans="1:39">
      <c r="A94" s="41"/>
      <c r="B94" s="63">
        <v>0.1</v>
      </c>
      <c r="C94" s="63">
        <v>0</v>
      </c>
      <c r="D94" s="64">
        <v>3</v>
      </c>
      <c r="E94" s="44">
        <v>43242</v>
      </c>
      <c r="F94" s="41">
        <v>25733</v>
      </c>
      <c r="G94" s="41">
        <v>25700</v>
      </c>
      <c r="H94" s="41">
        <f t="shared" si="26"/>
        <v>25700</v>
      </c>
      <c r="I94" s="41">
        <v>177</v>
      </c>
      <c r="J94" s="41">
        <v>110</v>
      </c>
      <c r="K94" s="46">
        <v>0.40625</v>
      </c>
      <c r="L94" s="41">
        <v>279</v>
      </c>
      <c r="M94" s="41">
        <v>59</v>
      </c>
      <c r="N94" s="43">
        <f t="shared" si="20"/>
        <v>-51</v>
      </c>
      <c r="O94" s="77">
        <f>ImpliedCallVolatility(F94,G94,((D94)/365),B94,I94,C94)</f>
        <v>0.15956878662109375</v>
      </c>
      <c r="P94" s="77">
        <f>ImpliedPutVolatility(F94,H94,((D94)/365),B94,J94,C94)</f>
        <v>0.14560699462890625</v>
      </c>
      <c r="Q94" t="str">
        <f t="shared" si="21"/>
        <v>Sell</v>
      </c>
      <c r="R94">
        <f t="shared" si="22"/>
        <v>200.89999999999998</v>
      </c>
      <c r="S94">
        <f t="shared" si="23"/>
        <v>25933.9</v>
      </c>
      <c r="T94">
        <f t="shared" si="24"/>
        <v>25532.1</v>
      </c>
      <c r="U94" s="36">
        <v>0.41666666666666669</v>
      </c>
      <c r="V94">
        <v>25938</v>
      </c>
      <c r="AB94">
        <v>25933</v>
      </c>
      <c r="AC94">
        <v>25733</v>
      </c>
      <c r="AE94">
        <f t="shared" si="15"/>
        <v>-200</v>
      </c>
      <c r="AF94">
        <f t="shared" si="25"/>
        <v>2584</v>
      </c>
      <c r="AI94">
        <f t="shared" si="16"/>
        <v>-102000</v>
      </c>
      <c r="AJ94">
        <f t="shared" si="17"/>
        <v>-40000</v>
      </c>
      <c r="AL94">
        <f t="shared" si="18"/>
        <v>-142000</v>
      </c>
      <c r="AM94">
        <f t="shared" si="19"/>
        <v>3230900</v>
      </c>
    </row>
    <row r="95" spans="1:39">
      <c r="A95" s="41" t="s">
        <v>57</v>
      </c>
      <c r="B95" s="63">
        <v>0.1</v>
      </c>
      <c r="C95" s="63">
        <v>0</v>
      </c>
      <c r="D95" s="64">
        <v>2</v>
      </c>
      <c r="E95" s="44">
        <v>43243</v>
      </c>
      <c r="F95" s="41">
        <v>25798</v>
      </c>
      <c r="G95" s="41">
        <v>25800</v>
      </c>
      <c r="H95" s="41">
        <f t="shared" si="26"/>
        <v>25800</v>
      </c>
      <c r="I95" s="41">
        <v>96</v>
      </c>
      <c r="J95" s="41">
        <v>110</v>
      </c>
      <c r="K95" s="46">
        <v>0.63541666666666663</v>
      </c>
      <c r="L95" s="41">
        <v>17</v>
      </c>
      <c r="M95" s="41">
        <v>163</v>
      </c>
      <c r="N95" s="43">
        <f t="shared" si="20"/>
        <v>26</v>
      </c>
      <c r="O95" s="77">
        <f>ImpliedCallVolatility(F95,G95,((D95)/365),B95,I95,C95)</f>
        <v>0.11791229248046875</v>
      </c>
      <c r="P95" s="77">
        <f>ImpliedPutVolatility(F95,H95,((D95)/365),B95,J95,C95)</f>
        <v>0.15224456787109375</v>
      </c>
      <c r="Q95" t="str">
        <f t="shared" si="21"/>
        <v>Buy</v>
      </c>
      <c r="R95">
        <f t="shared" si="22"/>
        <v>144.19999999999999</v>
      </c>
      <c r="S95">
        <f t="shared" si="23"/>
        <v>25942.2</v>
      </c>
      <c r="T95">
        <f t="shared" si="24"/>
        <v>25653.8</v>
      </c>
      <c r="U95" s="36">
        <v>0.63541666666666663</v>
      </c>
      <c r="V95">
        <v>25676</v>
      </c>
      <c r="AB95">
        <v>25798</v>
      </c>
      <c r="AC95">
        <v>25745</v>
      </c>
      <c r="AE95">
        <f t="shared" si="15"/>
        <v>-53</v>
      </c>
      <c r="AF95">
        <f t="shared" si="25"/>
        <v>2531</v>
      </c>
      <c r="AI95">
        <f t="shared" si="16"/>
        <v>52000</v>
      </c>
      <c r="AJ95">
        <f t="shared" si="17"/>
        <v>-10600</v>
      </c>
      <c r="AL95">
        <f t="shared" si="18"/>
        <v>41400</v>
      </c>
      <c r="AM95">
        <f t="shared" si="19"/>
        <v>3272300</v>
      </c>
    </row>
    <row r="96" spans="1:39" ht="13.5" thickBot="1">
      <c r="A96" s="41" t="s">
        <v>58</v>
      </c>
      <c r="B96" s="63">
        <v>0.1</v>
      </c>
      <c r="C96" s="63">
        <v>0</v>
      </c>
      <c r="D96" s="64">
        <v>1</v>
      </c>
      <c r="E96" s="48">
        <v>43244</v>
      </c>
      <c r="F96" s="41">
        <v>25750</v>
      </c>
      <c r="G96" s="41">
        <v>25700</v>
      </c>
      <c r="H96" s="41">
        <f t="shared" si="26"/>
        <v>25700</v>
      </c>
      <c r="I96" s="41">
        <v>51</v>
      </c>
      <c r="J96" s="41">
        <v>43</v>
      </c>
      <c r="K96" s="46">
        <v>0.42708333333333331</v>
      </c>
      <c r="L96" s="41">
        <v>50</v>
      </c>
      <c r="M96" s="41">
        <v>38</v>
      </c>
      <c r="N96" s="43">
        <f t="shared" si="20"/>
        <v>6</v>
      </c>
      <c r="O96" s="77">
        <f>ImpliedCallVolatility(F96,G96,((D96)/365),B96,I96,C96)</f>
        <v>3.814697265625E-5</v>
      </c>
      <c r="P96" s="77">
        <f>ImpliedPutVolatility(F96,H96,((D96)/365),B96,J96,C96)</f>
        <v>0.12607574462890625</v>
      </c>
      <c r="Q96" t="str">
        <f t="shared" si="21"/>
        <v>Buy</v>
      </c>
      <c r="R96">
        <f t="shared" si="22"/>
        <v>65.8</v>
      </c>
      <c r="S96">
        <f t="shared" si="23"/>
        <v>25815.8</v>
      </c>
      <c r="T96">
        <f t="shared" si="24"/>
        <v>25684.2</v>
      </c>
      <c r="U96" s="36">
        <v>0.63541666666666663</v>
      </c>
      <c r="V96">
        <v>26031</v>
      </c>
      <c r="AB96">
        <v>25750</v>
      </c>
      <c r="AC96">
        <v>25902</v>
      </c>
      <c r="AE96">
        <f t="shared" si="15"/>
        <v>152</v>
      </c>
      <c r="AF96">
        <f t="shared" si="25"/>
        <v>2683</v>
      </c>
      <c r="AI96">
        <f t="shared" si="16"/>
        <v>12000</v>
      </c>
      <c r="AJ96">
        <f t="shared" si="17"/>
        <v>30400</v>
      </c>
      <c r="AL96">
        <f t="shared" si="18"/>
        <v>42400</v>
      </c>
      <c r="AM96">
        <f t="shared" si="19"/>
        <v>3314700</v>
      </c>
    </row>
    <row r="97" spans="1:40">
      <c r="A97" s="41"/>
      <c r="B97" s="63">
        <v>0.1</v>
      </c>
      <c r="C97" s="63">
        <v>0</v>
      </c>
      <c r="D97" s="64">
        <v>5</v>
      </c>
      <c r="E97" s="42">
        <v>43245</v>
      </c>
      <c r="F97" s="41">
        <v>26158</v>
      </c>
      <c r="G97" s="41">
        <v>26200</v>
      </c>
      <c r="H97" s="41">
        <f t="shared" si="26"/>
        <v>26200</v>
      </c>
      <c r="I97" s="41">
        <v>126</v>
      </c>
      <c r="J97" s="41">
        <v>216</v>
      </c>
      <c r="K97" s="46">
        <v>0.63541666666666663</v>
      </c>
      <c r="L97" s="41">
        <v>157</v>
      </c>
      <c r="M97" s="41">
        <v>133</v>
      </c>
      <c r="N97" s="43">
        <f t="shared" si="20"/>
        <v>52</v>
      </c>
      <c r="O97" s="77">
        <f>ImpliedCallVolatility(F97,G97,((D97)/365),B97,I97,C97)</f>
        <v>0.10562896728515625</v>
      </c>
      <c r="P97" s="77">
        <f>ImpliedPutVolatility(F97,H97,((D97)/365),B97,J97,C97)</f>
        <v>0.17429351806640625</v>
      </c>
      <c r="Q97" t="str">
        <f t="shared" si="21"/>
        <v>Buy</v>
      </c>
      <c r="R97">
        <f t="shared" si="22"/>
        <v>239.39999999999998</v>
      </c>
      <c r="S97">
        <f t="shared" si="23"/>
        <v>26397.4</v>
      </c>
      <c r="T97">
        <f t="shared" si="24"/>
        <v>25918.6</v>
      </c>
      <c r="U97" s="36">
        <v>0.63541666666666663</v>
      </c>
      <c r="V97">
        <v>26243</v>
      </c>
      <c r="AB97">
        <v>26158</v>
      </c>
      <c r="AC97">
        <v>26265</v>
      </c>
      <c r="AE97">
        <f t="shared" si="15"/>
        <v>107</v>
      </c>
      <c r="AF97">
        <f t="shared" si="25"/>
        <v>2790</v>
      </c>
      <c r="AI97">
        <f t="shared" si="16"/>
        <v>104000</v>
      </c>
      <c r="AJ97">
        <f t="shared" si="17"/>
        <v>21400</v>
      </c>
      <c r="AL97">
        <f t="shared" si="18"/>
        <v>125400</v>
      </c>
      <c r="AM97">
        <f t="shared" si="19"/>
        <v>3440100</v>
      </c>
    </row>
    <row r="98" spans="1:40">
      <c r="A98" s="41"/>
      <c r="B98" s="63">
        <v>0.1</v>
      </c>
      <c r="C98" s="63">
        <v>0</v>
      </c>
      <c r="D98" s="64">
        <v>4</v>
      </c>
      <c r="E98" s="44">
        <v>43248</v>
      </c>
      <c r="F98" s="41">
        <v>26473</v>
      </c>
      <c r="G98" s="41">
        <v>26400</v>
      </c>
      <c r="H98" s="41">
        <v>26400</v>
      </c>
      <c r="I98" s="41">
        <v>137</v>
      </c>
      <c r="J98" s="41">
        <v>135</v>
      </c>
      <c r="K98" s="46">
        <v>0.51041666666666663</v>
      </c>
      <c r="L98" s="41">
        <v>193</v>
      </c>
      <c r="M98" s="41">
        <v>85</v>
      </c>
      <c r="N98" s="43">
        <f t="shared" si="20"/>
        <v>-6</v>
      </c>
      <c r="O98" s="77">
        <f>ImpliedCallVolatility(F98,G98,((D98)/365),B98,I98,C98)</f>
        <v>6.824493408203125E-2</v>
      </c>
      <c r="P98" s="77">
        <f>ImpliedPutVolatility(F98,H98,((D98)/365),B98,J98,C98)</f>
        <v>0.16437530517578125</v>
      </c>
      <c r="Q98" t="str">
        <f t="shared" si="21"/>
        <v>Buy</v>
      </c>
      <c r="R98">
        <f t="shared" si="22"/>
        <v>190.39999999999998</v>
      </c>
      <c r="S98">
        <f t="shared" si="23"/>
        <v>26663.4</v>
      </c>
      <c r="T98">
        <f t="shared" si="24"/>
        <v>26282.6</v>
      </c>
      <c r="U98" s="36">
        <v>0.60416666666666663</v>
      </c>
      <c r="V98">
        <v>26683</v>
      </c>
      <c r="AB98">
        <v>26473</v>
      </c>
      <c r="AC98">
        <v>26691</v>
      </c>
      <c r="AE98">
        <f t="shared" si="15"/>
        <v>218</v>
      </c>
      <c r="AF98">
        <f t="shared" si="25"/>
        <v>3008</v>
      </c>
      <c r="AI98">
        <f t="shared" si="16"/>
        <v>-12000</v>
      </c>
      <c r="AJ98">
        <f t="shared" si="17"/>
        <v>43600</v>
      </c>
      <c r="AL98">
        <f t="shared" si="18"/>
        <v>31600</v>
      </c>
      <c r="AM98">
        <f t="shared" si="19"/>
        <v>3471700</v>
      </c>
    </row>
    <row r="99" spans="1:40">
      <c r="A99" s="41"/>
      <c r="B99" s="63">
        <v>0.1</v>
      </c>
      <c r="C99" s="63">
        <v>0</v>
      </c>
      <c r="D99" s="64">
        <v>3</v>
      </c>
      <c r="E99" s="44">
        <v>43249</v>
      </c>
      <c r="F99" s="41">
        <v>26467</v>
      </c>
      <c r="G99" s="41">
        <v>26500</v>
      </c>
      <c r="H99" s="41">
        <v>26500</v>
      </c>
      <c r="I99" s="41">
        <v>83</v>
      </c>
      <c r="J99" s="41">
        <v>159</v>
      </c>
      <c r="K99" s="46">
        <v>0.57291666666666663</v>
      </c>
      <c r="L99" s="41">
        <v>36</v>
      </c>
      <c r="M99" s="41">
        <v>283</v>
      </c>
      <c r="N99" s="43">
        <f t="shared" si="20"/>
        <v>-77</v>
      </c>
      <c r="O99" s="77">
        <f>ImpliedCallVolatility(F99,G99,((D99)/365),B99,I99,C99)</f>
        <v>9.243011474609375E-2</v>
      </c>
      <c r="P99" s="77">
        <f>ImpliedPutVolatility(F99,H99,((D99)/365),B99,J99,C99)</f>
        <v>0.16010284423828125</v>
      </c>
      <c r="Q99" t="str">
        <f t="shared" si="21"/>
        <v>Buy</v>
      </c>
      <c r="R99">
        <f t="shared" si="22"/>
        <v>169.39999999999998</v>
      </c>
      <c r="S99">
        <f t="shared" si="23"/>
        <v>26636.400000000001</v>
      </c>
      <c r="T99">
        <f t="shared" si="24"/>
        <v>26297.599999999999</v>
      </c>
      <c r="U99" s="36">
        <v>0.59375</v>
      </c>
      <c r="V99">
        <v>26265</v>
      </c>
      <c r="AB99">
        <v>26466</v>
      </c>
      <c r="AC99">
        <v>26266</v>
      </c>
      <c r="AE99">
        <f t="shared" si="15"/>
        <v>-200</v>
      </c>
      <c r="AF99">
        <f t="shared" si="25"/>
        <v>2808</v>
      </c>
      <c r="AI99">
        <f t="shared" si="16"/>
        <v>-154000</v>
      </c>
      <c r="AJ99">
        <f t="shared" si="17"/>
        <v>-40000</v>
      </c>
      <c r="AL99">
        <f t="shared" si="18"/>
        <v>-194000</v>
      </c>
      <c r="AM99">
        <f t="shared" si="19"/>
        <v>3277700</v>
      </c>
    </row>
    <row r="100" spans="1:40">
      <c r="A100" s="41" t="s">
        <v>57</v>
      </c>
      <c r="B100" s="63">
        <v>0.1</v>
      </c>
      <c r="C100" s="63">
        <v>0</v>
      </c>
      <c r="D100" s="64">
        <v>2</v>
      </c>
      <c r="E100" s="49">
        <v>43250</v>
      </c>
      <c r="F100" s="41">
        <v>26012</v>
      </c>
      <c r="G100" s="41">
        <v>26000</v>
      </c>
      <c r="H100" s="41">
        <v>26000</v>
      </c>
      <c r="I100" s="41">
        <v>90</v>
      </c>
      <c r="J100" s="41">
        <v>141</v>
      </c>
      <c r="K100" s="46">
        <v>0.53125</v>
      </c>
      <c r="L100" s="41">
        <v>206</v>
      </c>
      <c r="M100" s="41">
        <v>47</v>
      </c>
      <c r="N100" s="43">
        <f t="shared" si="20"/>
        <v>-22</v>
      </c>
      <c r="O100" s="77">
        <f>ImpliedCallVolatility(F100,G100,((D100)/365),B100,I100,C100)</f>
        <v>9.922027587890625E-2</v>
      </c>
      <c r="P100" s="77">
        <f>ImpliedPutVolatility(F100,H100,((D100)/365),B100,J100,C100)</f>
        <v>0.20030975341796875</v>
      </c>
      <c r="Q100" t="str">
        <f t="shared" si="21"/>
        <v>Buy</v>
      </c>
      <c r="R100">
        <f t="shared" si="22"/>
        <v>161.69999999999999</v>
      </c>
      <c r="S100">
        <f t="shared" si="23"/>
        <v>26173.7</v>
      </c>
      <c r="T100">
        <f t="shared" si="24"/>
        <v>25850.3</v>
      </c>
      <c r="U100" s="36">
        <v>0.53125</v>
      </c>
      <c r="V100">
        <v>26235</v>
      </c>
      <c r="AB100">
        <v>26012</v>
      </c>
      <c r="AC100">
        <v>26265</v>
      </c>
      <c r="AE100">
        <f t="shared" si="15"/>
        <v>253</v>
      </c>
      <c r="AF100">
        <f t="shared" si="25"/>
        <v>3061</v>
      </c>
      <c r="AI100">
        <f t="shared" si="16"/>
        <v>-44000</v>
      </c>
      <c r="AJ100">
        <f t="shared" si="17"/>
        <v>50600</v>
      </c>
      <c r="AL100">
        <f t="shared" si="18"/>
        <v>6600</v>
      </c>
      <c r="AM100">
        <f t="shared" si="19"/>
        <v>3284300</v>
      </c>
    </row>
    <row r="101" spans="1:40" ht="13.5" thickBot="1">
      <c r="A101" s="41" t="s">
        <v>58</v>
      </c>
      <c r="B101" s="63">
        <v>0.1</v>
      </c>
      <c r="C101" s="63">
        <v>0</v>
      </c>
      <c r="D101" s="64">
        <v>1</v>
      </c>
      <c r="E101" s="48">
        <v>43251</v>
      </c>
      <c r="F101" s="41">
        <v>26446</v>
      </c>
      <c r="G101" s="41">
        <v>26400</v>
      </c>
      <c r="H101" s="41">
        <v>26400</v>
      </c>
      <c r="I101" s="41">
        <v>102</v>
      </c>
      <c r="J101" s="41">
        <v>70</v>
      </c>
      <c r="K101" s="46">
        <v>0.54166666666666663</v>
      </c>
      <c r="L101" s="41">
        <v>134</v>
      </c>
      <c r="M101" s="41">
        <v>24</v>
      </c>
      <c r="N101" s="43">
        <f t="shared" si="20"/>
        <v>14</v>
      </c>
      <c r="O101" s="77">
        <f>ImpliedCallVolatility(F101,G101,((D101)/365),B101,I101,C101)</f>
        <v>0.13103485107421875</v>
      </c>
      <c r="P101" s="77">
        <f>ImpliedPutVolatility(F101,H101,((D101)/365),B101,J101,C101)</f>
        <v>0.17078399658203125</v>
      </c>
      <c r="Q101" t="str">
        <f t="shared" si="21"/>
        <v>Buy</v>
      </c>
      <c r="R101">
        <f t="shared" si="22"/>
        <v>120.39999999999999</v>
      </c>
      <c r="S101">
        <f t="shared" si="23"/>
        <v>26566.400000000001</v>
      </c>
      <c r="T101">
        <f t="shared" si="24"/>
        <v>26325.599999999999</v>
      </c>
      <c r="U101" s="36">
        <v>0.625</v>
      </c>
      <c r="V101">
        <v>26758</v>
      </c>
      <c r="X101" t="s">
        <v>75</v>
      </c>
      <c r="Y101" s="72">
        <f>SUM(N80:N101)</f>
        <v>-62</v>
      </c>
      <c r="AB101">
        <v>26445</v>
      </c>
      <c r="AC101">
        <v>26737</v>
      </c>
      <c r="AE101">
        <f t="shared" si="15"/>
        <v>292</v>
      </c>
      <c r="AF101">
        <f t="shared" si="25"/>
        <v>3353</v>
      </c>
      <c r="AG101">
        <f>SUM(AE80:AE101)</f>
        <v>322</v>
      </c>
      <c r="AI101">
        <f t="shared" si="16"/>
        <v>28000</v>
      </c>
      <c r="AJ101">
        <f t="shared" si="17"/>
        <v>58400</v>
      </c>
      <c r="AL101">
        <f t="shared" si="18"/>
        <v>86400</v>
      </c>
      <c r="AM101">
        <f t="shared" si="19"/>
        <v>3370700</v>
      </c>
      <c r="AN101">
        <f>AM101-AM79</f>
        <v>-59600</v>
      </c>
    </row>
    <row r="102" spans="1:40">
      <c r="A102" s="41"/>
      <c r="B102" s="63">
        <v>0.1</v>
      </c>
      <c r="C102" s="63">
        <v>0</v>
      </c>
      <c r="D102" s="64">
        <v>5</v>
      </c>
      <c r="E102" s="42">
        <v>43252</v>
      </c>
      <c r="F102" s="41">
        <v>26856</v>
      </c>
      <c r="G102" s="41">
        <v>26800</v>
      </c>
      <c r="H102" s="41">
        <v>26800</v>
      </c>
      <c r="I102" s="41">
        <v>246</v>
      </c>
      <c r="J102" s="41">
        <v>279</v>
      </c>
      <c r="K102" s="46">
        <v>0.63541666666666663</v>
      </c>
      <c r="L102" s="41">
        <v>183</v>
      </c>
      <c r="M102" s="41">
        <v>299</v>
      </c>
      <c r="N102" s="43">
        <f t="shared" si="20"/>
        <v>43</v>
      </c>
      <c r="O102" s="77">
        <f>ImpliedCallVolatility(F102,G102,((D102)/365),B102,I102,C102)</f>
        <v>0.15674591064453125</v>
      </c>
      <c r="P102" s="77">
        <f>ImpliedPutVolatility(F102,H102,((D102)/365),B102,J102,C102)</f>
        <v>0.25821685791015625</v>
      </c>
      <c r="Q102" t="str">
        <f t="shared" si="21"/>
        <v>Buy</v>
      </c>
      <c r="R102">
        <f t="shared" si="22"/>
        <v>367.5</v>
      </c>
      <c r="S102">
        <f t="shared" si="23"/>
        <v>27223.5</v>
      </c>
      <c r="T102">
        <f t="shared" si="24"/>
        <v>26488.5</v>
      </c>
      <c r="U102" s="36">
        <v>0.63541666666666663</v>
      </c>
      <c r="V102">
        <v>26719</v>
      </c>
      <c r="AB102">
        <v>26855</v>
      </c>
      <c r="AC102">
        <v>26735</v>
      </c>
      <c r="AE102">
        <f t="shared" si="15"/>
        <v>-120</v>
      </c>
      <c r="AF102">
        <f t="shared" si="25"/>
        <v>3233</v>
      </c>
      <c r="AI102">
        <f t="shared" si="16"/>
        <v>86000</v>
      </c>
      <c r="AJ102">
        <f t="shared" si="17"/>
        <v>-24000</v>
      </c>
      <c r="AL102">
        <f t="shared" si="18"/>
        <v>62000</v>
      </c>
      <c r="AM102">
        <f t="shared" si="19"/>
        <v>3432700</v>
      </c>
    </row>
    <row r="103" spans="1:40">
      <c r="A103" s="41"/>
      <c r="B103" s="63">
        <v>0.1</v>
      </c>
      <c r="C103" s="63">
        <v>0</v>
      </c>
      <c r="D103" s="64">
        <v>4</v>
      </c>
      <c r="E103" s="44">
        <v>43255</v>
      </c>
      <c r="F103" s="41">
        <v>26719</v>
      </c>
      <c r="G103" s="41">
        <v>26700</v>
      </c>
      <c r="H103" s="41">
        <v>26700</v>
      </c>
      <c r="I103" s="41">
        <v>214</v>
      </c>
      <c r="J103" s="41">
        <v>229</v>
      </c>
      <c r="K103" s="46">
        <v>0.40625</v>
      </c>
      <c r="L103" s="41">
        <v>130</v>
      </c>
      <c r="M103" s="41">
        <v>400</v>
      </c>
      <c r="N103" s="43">
        <f t="shared" si="20"/>
        <v>-87</v>
      </c>
      <c r="O103" s="77">
        <f>ImpliedCallVolatility(F103,G103,((D103)/365),B103,I103,C103)</f>
        <v>0.16941070556640625</v>
      </c>
      <c r="P103" s="77">
        <f>ImpliedPutVolatility(F103,H103,((D103)/365),B103,J103,C103)</f>
        <v>0.22640228271484375</v>
      </c>
      <c r="Q103" t="str">
        <f t="shared" si="21"/>
        <v>Buy</v>
      </c>
      <c r="R103">
        <f t="shared" si="22"/>
        <v>310.09999999999997</v>
      </c>
      <c r="S103">
        <f t="shared" si="23"/>
        <v>27029.1</v>
      </c>
      <c r="T103">
        <f t="shared" si="24"/>
        <v>26408.9</v>
      </c>
      <c r="U103" s="36">
        <v>0.41666666666666669</v>
      </c>
      <c r="V103">
        <v>26460</v>
      </c>
      <c r="AB103">
        <v>26719</v>
      </c>
      <c r="AC103">
        <v>26519</v>
      </c>
      <c r="AE103">
        <f t="shared" si="15"/>
        <v>-200</v>
      </c>
      <c r="AF103">
        <f t="shared" si="25"/>
        <v>3033</v>
      </c>
      <c r="AI103">
        <f t="shared" si="16"/>
        <v>-174000</v>
      </c>
      <c r="AJ103">
        <f t="shared" si="17"/>
        <v>-40000</v>
      </c>
      <c r="AL103">
        <f t="shared" si="18"/>
        <v>-214000</v>
      </c>
      <c r="AM103">
        <f t="shared" si="19"/>
        <v>3218700</v>
      </c>
    </row>
    <row r="104" spans="1:40">
      <c r="A104" s="41"/>
      <c r="B104" s="63">
        <v>0.1</v>
      </c>
      <c r="C104" s="63">
        <v>0</v>
      </c>
      <c r="D104" s="64">
        <v>3</v>
      </c>
      <c r="E104" s="44">
        <v>43256</v>
      </c>
      <c r="F104" s="41">
        <v>26260</v>
      </c>
      <c r="G104" s="41">
        <v>26200</v>
      </c>
      <c r="H104" s="41">
        <v>26200</v>
      </c>
      <c r="I104" s="41">
        <v>217</v>
      </c>
      <c r="J104" s="41">
        <v>198</v>
      </c>
      <c r="K104" s="46">
        <v>0.63541666666666663</v>
      </c>
      <c r="L104" s="41">
        <v>179</v>
      </c>
      <c r="M104" s="41">
        <v>154</v>
      </c>
      <c r="N104" s="43">
        <f t="shared" si="20"/>
        <v>82</v>
      </c>
      <c r="O104" s="77">
        <f>ImpliedCallVolatility(F104,G104,((D104)/365),B104,I104,C104)</f>
        <v>0.18260955810546875</v>
      </c>
      <c r="P104" s="77">
        <f>ImpliedPutVolatility(F104,H104,((D104)/365),B104,J104,C104)</f>
        <v>0.24944305419921875</v>
      </c>
      <c r="Q104" t="str">
        <f t="shared" si="21"/>
        <v>Buy</v>
      </c>
      <c r="R104">
        <f t="shared" si="22"/>
        <v>290.5</v>
      </c>
      <c r="S104">
        <f t="shared" si="23"/>
        <v>26550.5</v>
      </c>
      <c r="T104">
        <f t="shared" si="24"/>
        <v>25969.5</v>
      </c>
      <c r="U104" s="36">
        <v>0.63541666666666663</v>
      </c>
      <c r="V104">
        <v>26240</v>
      </c>
      <c r="AB104">
        <v>26259</v>
      </c>
      <c r="AC104">
        <v>26271</v>
      </c>
      <c r="AE104">
        <f t="shared" si="15"/>
        <v>12</v>
      </c>
      <c r="AF104">
        <f t="shared" si="25"/>
        <v>3045</v>
      </c>
      <c r="AI104">
        <f t="shared" si="16"/>
        <v>164000</v>
      </c>
      <c r="AJ104">
        <f t="shared" si="17"/>
        <v>2400</v>
      </c>
      <c r="AL104">
        <f t="shared" si="18"/>
        <v>166400</v>
      </c>
      <c r="AM104">
        <f t="shared" si="19"/>
        <v>3385100</v>
      </c>
    </row>
    <row r="105" spans="1:40">
      <c r="A105" s="41" t="s">
        <v>57</v>
      </c>
      <c r="B105" s="63">
        <v>0.1</v>
      </c>
      <c r="C105" s="63">
        <v>0</v>
      </c>
      <c r="D105" s="64">
        <v>2</v>
      </c>
      <c r="E105" s="44">
        <v>43257</v>
      </c>
      <c r="F105" s="41">
        <v>26210</v>
      </c>
      <c r="G105" s="41">
        <v>26200</v>
      </c>
      <c r="H105" s="41">
        <v>26200</v>
      </c>
      <c r="I105" s="41">
        <v>166</v>
      </c>
      <c r="J105" s="41">
        <v>160</v>
      </c>
      <c r="K105" s="46">
        <v>0.625</v>
      </c>
      <c r="L105" s="41">
        <v>225</v>
      </c>
      <c r="M105" s="41">
        <v>43</v>
      </c>
      <c r="N105" s="43">
        <f t="shared" si="20"/>
        <v>58</v>
      </c>
      <c r="O105" s="77">
        <f>ImpliedCallVolatility(F105,G105,((D105)/365),B105,I105,C105)</f>
        <v>0.19840240478515625</v>
      </c>
      <c r="P105" s="77">
        <f>ImpliedPutVolatility(F105,H105,((D105)/365),B105,J105,C105)</f>
        <v>0.22220611572265625</v>
      </c>
      <c r="Q105" t="str">
        <f t="shared" si="21"/>
        <v>Buy</v>
      </c>
      <c r="R105">
        <f t="shared" si="22"/>
        <v>228.2</v>
      </c>
      <c r="S105">
        <f t="shared" si="23"/>
        <v>26438.2</v>
      </c>
      <c r="T105">
        <f t="shared" si="24"/>
        <v>25981.8</v>
      </c>
      <c r="U105" s="36">
        <v>0.63541666666666663</v>
      </c>
      <c r="V105">
        <v>26422</v>
      </c>
      <c r="AB105">
        <v>26210</v>
      </c>
      <c r="AC105">
        <v>26192</v>
      </c>
      <c r="AE105">
        <f t="shared" si="15"/>
        <v>-18</v>
      </c>
      <c r="AF105">
        <f t="shared" si="25"/>
        <v>3027</v>
      </c>
      <c r="AI105">
        <f t="shared" si="16"/>
        <v>116000</v>
      </c>
      <c r="AJ105">
        <f t="shared" si="17"/>
        <v>-3600</v>
      </c>
      <c r="AL105">
        <f t="shared" si="18"/>
        <v>112400</v>
      </c>
      <c r="AM105">
        <f t="shared" si="19"/>
        <v>3497500</v>
      </c>
    </row>
    <row r="106" spans="1:40" ht="13.5" thickBot="1">
      <c r="A106" s="41" t="s">
        <v>58</v>
      </c>
      <c r="B106" s="63">
        <v>0.1</v>
      </c>
      <c r="C106" s="63">
        <v>0</v>
      </c>
      <c r="D106" s="64">
        <v>1</v>
      </c>
      <c r="E106" s="48">
        <v>43258</v>
      </c>
      <c r="F106" s="41">
        <v>26589</v>
      </c>
      <c r="G106" s="41">
        <v>26600</v>
      </c>
      <c r="H106" s="41">
        <v>26600</v>
      </c>
      <c r="I106" s="41">
        <v>50</v>
      </c>
      <c r="J106" s="41">
        <v>84</v>
      </c>
      <c r="K106" s="46">
        <v>0.44444444444444442</v>
      </c>
      <c r="L106" s="41">
        <v>114</v>
      </c>
      <c r="M106" s="41">
        <v>42</v>
      </c>
      <c r="N106" s="43">
        <f t="shared" si="20"/>
        <v>-22</v>
      </c>
      <c r="O106" s="77">
        <f>ImpliedCallVolatility(F106,G106,((D106)/365),B106,I106,C106)</f>
        <v>9.334564208984375E-2</v>
      </c>
      <c r="P106" s="77">
        <f>ImpliedPutVolatility(F106,H106,((D106)/365),B106,J106,C106)</f>
        <v>0.14789581298828125</v>
      </c>
      <c r="Q106" t="str">
        <f t="shared" si="21"/>
        <v>Buy</v>
      </c>
      <c r="R106">
        <f t="shared" si="22"/>
        <v>93.8</v>
      </c>
      <c r="S106">
        <f t="shared" si="23"/>
        <v>26682.799999999999</v>
      </c>
      <c r="T106">
        <f t="shared" si="24"/>
        <v>26495.200000000001</v>
      </c>
      <c r="U106" s="36">
        <v>0.63541666666666663</v>
      </c>
      <c r="V106">
        <v>26549</v>
      </c>
      <c r="AB106">
        <v>26589</v>
      </c>
      <c r="AC106">
        <v>26615</v>
      </c>
      <c r="AE106">
        <f t="shared" si="15"/>
        <v>26</v>
      </c>
      <c r="AF106">
        <f t="shared" si="25"/>
        <v>3053</v>
      </c>
      <c r="AI106">
        <f t="shared" si="16"/>
        <v>-44000</v>
      </c>
      <c r="AJ106">
        <f t="shared" si="17"/>
        <v>5200</v>
      </c>
      <c r="AL106">
        <f t="shared" si="18"/>
        <v>-38800</v>
      </c>
      <c r="AM106">
        <f t="shared" si="19"/>
        <v>3458700</v>
      </c>
    </row>
    <row r="107" spans="1:40">
      <c r="A107" s="41"/>
      <c r="B107" s="63">
        <v>0.1</v>
      </c>
      <c r="C107" s="63">
        <v>0</v>
      </c>
      <c r="D107" s="64">
        <v>5</v>
      </c>
      <c r="E107" s="42">
        <v>43259</v>
      </c>
      <c r="F107" s="41">
        <v>26363</v>
      </c>
      <c r="G107" s="41">
        <v>26400</v>
      </c>
      <c r="H107" s="41">
        <v>26400</v>
      </c>
      <c r="I107" s="41">
        <v>186</v>
      </c>
      <c r="J107" s="41">
        <v>215</v>
      </c>
      <c r="K107" s="46">
        <v>0.63541666666666663</v>
      </c>
      <c r="L107" s="41">
        <v>211</v>
      </c>
      <c r="M107" s="41">
        <v>182</v>
      </c>
      <c r="N107" s="43">
        <f t="shared" si="20"/>
        <v>8</v>
      </c>
      <c r="O107" s="77">
        <f>ImpliedCallVolatility(F107,G107,((D107)/365),B107,I107,C107)</f>
        <v>0.15148162841796875</v>
      </c>
      <c r="P107" s="77">
        <f>ImpliedPutVolatility(F107,H107,((D107)/365),B107,J107,C107)</f>
        <v>0.17429351806640625</v>
      </c>
      <c r="Q107" t="str">
        <f t="shared" si="21"/>
        <v>Buy</v>
      </c>
      <c r="R107">
        <f t="shared" si="22"/>
        <v>280.7</v>
      </c>
      <c r="S107">
        <f t="shared" si="23"/>
        <v>26643.7</v>
      </c>
      <c r="T107">
        <f t="shared" si="24"/>
        <v>26082.3</v>
      </c>
      <c r="U107" s="36">
        <v>0.63541666666666663</v>
      </c>
      <c r="V107">
        <v>26551</v>
      </c>
      <c r="AB107">
        <v>26363</v>
      </c>
      <c r="AC107">
        <v>26432</v>
      </c>
      <c r="AE107">
        <f t="shared" si="15"/>
        <v>69</v>
      </c>
      <c r="AF107">
        <f t="shared" si="25"/>
        <v>3122</v>
      </c>
      <c r="AI107">
        <f t="shared" si="16"/>
        <v>16000</v>
      </c>
      <c r="AJ107">
        <f t="shared" si="17"/>
        <v>13800</v>
      </c>
      <c r="AL107">
        <f t="shared" si="18"/>
        <v>29800</v>
      </c>
      <c r="AM107">
        <f t="shared" si="19"/>
        <v>3488500</v>
      </c>
    </row>
    <row r="108" spans="1:40">
      <c r="A108" s="41"/>
      <c r="B108" s="63">
        <v>0.1</v>
      </c>
      <c r="C108" s="63">
        <v>0</v>
      </c>
      <c r="D108" s="64">
        <v>4</v>
      </c>
      <c r="E108" s="44">
        <v>43262</v>
      </c>
      <c r="F108" s="41">
        <v>26510</v>
      </c>
      <c r="G108" s="41">
        <v>26500</v>
      </c>
      <c r="H108" s="41">
        <v>26500</v>
      </c>
      <c r="I108" s="41">
        <v>179</v>
      </c>
      <c r="J108" s="41">
        <v>185</v>
      </c>
      <c r="K108" s="46">
        <v>0.63541666666666663</v>
      </c>
      <c r="L108" s="41">
        <v>140</v>
      </c>
      <c r="M108" s="41">
        <v>193</v>
      </c>
      <c r="N108" s="43">
        <f t="shared" si="20"/>
        <v>31</v>
      </c>
      <c r="O108" s="77">
        <f>ImpliedCallVolatility(F108,G108,((D108)/365),B108,I108,C108)</f>
        <v>0.14347076416015625</v>
      </c>
      <c r="P108" s="77">
        <f>ImpliedPutVolatility(F108,H108,((D108)/365),B108,J108,C108)</f>
        <v>0.18428802490234375</v>
      </c>
      <c r="Q108" t="str">
        <f t="shared" si="21"/>
        <v>Buy</v>
      </c>
      <c r="R108">
        <f t="shared" si="22"/>
        <v>254.79999999999998</v>
      </c>
      <c r="S108">
        <f t="shared" si="23"/>
        <v>26764.799999999999</v>
      </c>
      <c r="T108">
        <f t="shared" si="24"/>
        <v>26255.200000000001</v>
      </c>
      <c r="U108" s="36">
        <v>0.63541666666666663</v>
      </c>
      <c r="V108">
        <v>26439</v>
      </c>
      <c r="AB108">
        <v>26510</v>
      </c>
      <c r="AC108">
        <v>26519</v>
      </c>
      <c r="AE108">
        <f t="shared" si="15"/>
        <v>9</v>
      </c>
      <c r="AF108">
        <f t="shared" si="25"/>
        <v>3131</v>
      </c>
      <c r="AI108">
        <f t="shared" si="16"/>
        <v>62000</v>
      </c>
      <c r="AJ108">
        <f t="shared" si="17"/>
        <v>1800</v>
      </c>
      <c r="AL108">
        <f t="shared" si="18"/>
        <v>63800</v>
      </c>
      <c r="AM108">
        <f t="shared" si="19"/>
        <v>3552300</v>
      </c>
    </row>
    <row r="109" spans="1:40">
      <c r="A109" s="41"/>
      <c r="B109" s="63">
        <v>0.1</v>
      </c>
      <c r="C109" s="63">
        <v>0</v>
      </c>
      <c r="D109" s="64">
        <v>3</v>
      </c>
      <c r="E109" s="44">
        <v>43263</v>
      </c>
      <c r="F109" s="41">
        <v>26488</v>
      </c>
      <c r="G109" s="41">
        <v>26500</v>
      </c>
      <c r="H109" s="41">
        <v>26500</v>
      </c>
      <c r="I109" s="41">
        <v>155</v>
      </c>
      <c r="J109" s="41">
        <v>184</v>
      </c>
      <c r="K109" s="46">
        <v>0.63541666666666663</v>
      </c>
      <c r="L109" s="41">
        <v>186</v>
      </c>
      <c r="M109" s="41">
        <v>121</v>
      </c>
      <c r="N109" s="43">
        <f t="shared" si="20"/>
        <v>32</v>
      </c>
      <c r="O109" s="77">
        <f>ImpliedCallVolatility(F109,G109,((D109)/365),B109,I109,C109)</f>
        <v>0.15666961669921875</v>
      </c>
      <c r="P109" s="77">
        <f>ImpliedPutVolatility(F109,H109,((D109)/365),B109,J109,C109)</f>
        <v>0.19718170166015625</v>
      </c>
      <c r="Q109" t="str">
        <f t="shared" si="21"/>
        <v>Buy</v>
      </c>
      <c r="R109">
        <f t="shared" si="22"/>
        <v>237.29999999999998</v>
      </c>
      <c r="S109">
        <f t="shared" si="23"/>
        <v>26725.3</v>
      </c>
      <c r="T109">
        <f t="shared" si="24"/>
        <v>26250.7</v>
      </c>
      <c r="U109" s="36">
        <v>0.63541666666666663</v>
      </c>
      <c r="V109">
        <v>26584</v>
      </c>
      <c r="AB109">
        <v>26488</v>
      </c>
      <c r="AC109">
        <v>26575</v>
      </c>
      <c r="AE109">
        <f t="shared" si="15"/>
        <v>87</v>
      </c>
      <c r="AF109">
        <f t="shared" si="25"/>
        <v>3218</v>
      </c>
      <c r="AI109">
        <f t="shared" si="16"/>
        <v>64000</v>
      </c>
      <c r="AJ109">
        <f t="shared" si="17"/>
        <v>17400</v>
      </c>
      <c r="AL109">
        <f t="shared" si="18"/>
        <v>81400</v>
      </c>
      <c r="AM109">
        <f t="shared" si="19"/>
        <v>3633700</v>
      </c>
    </row>
    <row r="110" spans="1:40">
      <c r="A110" s="41" t="s">
        <v>57</v>
      </c>
      <c r="B110" s="63">
        <v>0.1</v>
      </c>
      <c r="C110" s="63">
        <v>0</v>
      </c>
      <c r="D110" s="64">
        <v>2</v>
      </c>
      <c r="E110" s="44">
        <v>43264</v>
      </c>
      <c r="F110" s="41">
        <v>26673</v>
      </c>
      <c r="G110" s="41">
        <v>26700</v>
      </c>
      <c r="H110" s="41">
        <v>26700</v>
      </c>
      <c r="I110" s="41">
        <v>127</v>
      </c>
      <c r="J110" s="41">
        <v>149</v>
      </c>
      <c r="K110" s="46">
        <v>0.63541666666666663</v>
      </c>
      <c r="L110" s="41">
        <v>85</v>
      </c>
      <c r="M110" s="41">
        <v>147</v>
      </c>
      <c r="N110" s="43">
        <f t="shared" si="20"/>
        <v>44</v>
      </c>
      <c r="O110" s="77">
        <f>ImpliedCallVolatility(F110,G110,((D110)/365),B110,I110,C110)</f>
        <v>0.16895294189453125</v>
      </c>
      <c r="P110" s="77">
        <f>ImpliedPutVolatility(F110,H110,((D110)/365),B110,J110,C110)</f>
        <v>0.18115997314453125</v>
      </c>
      <c r="Q110" t="str">
        <f t="shared" si="21"/>
        <v>Buy</v>
      </c>
      <c r="R110">
        <f t="shared" si="22"/>
        <v>193.2</v>
      </c>
      <c r="S110">
        <f t="shared" si="23"/>
        <v>26866.2</v>
      </c>
      <c r="T110">
        <f t="shared" si="24"/>
        <v>26479.8</v>
      </c>
      <c r="U110" s="36">
        <v>0.63541666666666663</v>
      </c>
      <c r="V110">
        <v>26645</v>
      </c>
      <c r="AB110">
        <v>26673</v>
      </c>
      <c r="AC110">
        <v>26614</v>
      </c>
      <c r="AE110">
        <f t="shared" si="15"/>
        <v>-59</v>
      </c>
      <c r="AF110">
        <f t="shared" si="25"/>
        <v>3159</v>
      </c>
      <c r="AI110">
        <f t="shared" si="16"/>
        <v>88000</v>
      </c>
      <c r="AJ110">
        <f t="shared" si="17"/>
        <v>-11800</v>
      </c>
      <c r="AL110">
        <f t="shared" si="18"/>
        <v>76200</v>
      </c>
      <c r="AM110">
        <f t="shared" si="19"/>
        <v>3709900</v>
      </c>
    </row>
    <row r="111" spans="1:40" ht="13.5" thickBot="1">
      <c r="A111" s="41" t="s">
        <v>58</v>
      </c>
      <c r="B111" s="63">
        <v>0.1</v>
      </c>
      <c r="C111" s="63">
        <v>0</v>
      </c>
      <c r="D111" s="64">
        <v>1</v>
      </c>
      <c r="E111" s="48">
        <v>43265</v>
      </c>
      <c r="F111" s="41">
        <v>26597</v>
      </c>
      <c r="G111" s="41">
        <v>26600</v>
      </c>
      <c r="H111" s="41">
        <v>26600</v>
      </c>
      <c r="I111" s="41">
        <v>55</v>
      </c>
      <c r="J111" s="41">
        <v>105</v>
      </c>
      <c r="K111" s="46">
        <v>0.5</v>
      </c>
      <c r="L111" s="41">
        <v>28</v>
      </c>
      <c r="M111" s="41">
        <v>125</v>
      </c>
      <c r="N111" s="43">
        <f t="shared" si="20"/>
        <v>7</v>
      </c>
      <c r="O111" s="77">
        <f>ImpliedCallVolatility(F111,G111,((D111)/365),B111,I111,C111)</f>
        <v>9.510040283203125E-2</v>
      </c>
      <c r="P111" s="77">
        <f>ImpliedPutVolatility(F111,H111,((D111)/365),B111,J111,C111)</f>
        <v>0.19290924072265625</v>
      </c>
      <c r="Q111" t="str">
        <f t="shared" si="21"/>
        <v>Buy</v>
      </c>
      <c r="R111">
        <f t="shared" si="22"/>
        <v>112</v>
      </c>
      <c r="S111">
        <f t="shared" si="23"/>
        <v>26709</v>
      </c>
      <c r="T111">
        <f t="shared" si="24"/>
        <v>26485</v>
      </c>
      <c r="U111" s="36">
        <v>0.63541666666666663</v>
      </c>
      <c r="V111">
        <v>26573</v>
      </c>
      <c r="AB111">
        <v>26597</v>
      </c>
      <c r="AC111">
        <v>26578</v>
      </c>
      <c r="AE111">
        <f t="shared" si="15"/>
        <v>-19</v>
      </c>
      <c r="AF111">
        <f t="shared" si="25"/>
        <v>3140</v>
      </c>
      <c r="AI111">
        <f t="shared" si="16"/>
        <v>14000</v>
      </c>
      <c r="AJ111">
        <f t="shared" si="17"/>
        <v>-3800</v>
      </c>
      <c r="AL111">
        <f t="shared" si="18"/>
        <v>10200</v>
      </c>
      <c r="AM111">
        <f t="shared" si="19"/>
        <v>3720100</v>
      </c>
    </row>
    <row r="112" spans="1:40">
      <c r="A112" s="41"/>
      <c r="B112" s="63">
        <v>0.1</v>
      </c>
      <c r="C112" s="63">
        <v>0</v>
      </c>
      <c r="D112" s="64">
        <v>5</v>
      </c>
      <c r="E112" s="42">
        <v>43266</v>
      </c>
      <c r="F112" s="41">
        <v>26558</v>
      </c>
      <c r="G112" s="41">
        <v>26600</v>
      </c>
      <c r="H112" s="41">
        <v>26600</v>
      </c>
      <c r="I112" s="41">
        <v>180</v>
      </c>
      <c r="J112" s="41">
        <v>219</v>
      </c>
      <c r="K112" s="46">
        <v>0.54166666666666663</v>
      </c>
      <c r="L112" s="41">
        <v>85</v>
      </c>
      <c r="M112" s="41">
        <v>332</v>
      </c>
      <c r="N112" s="43">
        <f t="shared" si="20"/>
        <v>-18</v>
      </c>
      <c r="O112" s="77">
        <f>ImpliedCallVolatility(F112,G112,((D112)/365),B112,I112,C112)</f>
        <v>0.14736175537109375</v>
      </c>
      <c r="P112" s="77">
        <f>ImpliedPutVolatility(F112,H112,((D112)/365),B112,J112,C112)</f>
        <v>0.17429351806640625</v>
      </c>
      <c r="Q112" t="str">
        <f t="shared" si="21"/>
        <v>Buy</v>
      </c>
      <c r="R112">
        <f t="shared" si="22"/>
        <v>279.29999999999995</v>
      </c>
      <c r="S112">
        <f t="shared" si="23"/>
        <v>26837.3</v>
      </c>
      <c r="T112">
        <f t="shared" si="24"/>
        <v>26278.7</v>
      </c>
      <c r="U112" s="36">
        <v>0.55208333333333337</v>
      </c>
      <c r="V112">
        <v>26464</v>
      </c>
      <c r="AB112">
        <v>26558</v>
      </c>
      <c r="AC112">
        <v>26358</v>
      </c>
      <c r="AE112">
        <f t="shared" si="15"/>
        <v>-200</v>
      </c>
      <c r="AF112">
        <f t="shared" si="25"/>
        <v>2940</v>
      </c>
      <c r="AI112">
        <f t="shared" si="16"/>
        <v>-36000</v>
      </c>
      <c r="AJ112">
        <f t="shared" si="17"/>
        <v>-40000</v>
      </c>
      <c r="AL112">
        <f t="shared" si="18"/>
        <v>-76000</v>
      </c>
      <c r="AM112">
        <f t="shared" si="19"/>
        <v>3644100</v>
      </c>
    </row>
    <row r="113" spans="1:40">
      <c r="A113" s="41"/>
      <c r="B113" s="63">
        <v>0.1</v>
      </c>
      <c r="C113" s="63">
        <v>0</v>
      </c>
      <c r="D113" s="64">
        <v>4</v>
      </c>
      <c r="E113" s="44">
        <v>43269</v>
      </c>
      <c r="F113" s="41">
        <v>26413</v>
      </c>
      <c r="G113" s="41">
        <v>26400</v>
      </c>
      <c r="H113" s="41">
        <f>G113</f>
        <v>26400</v>
      </c>
      <c r="I113" s="41">
        <v>145</v>
      </c>
      <c r="J113" s="41">
        <v>175</v>
      </c>
      <c r="K113" s="46">
        <v>0.63541666666666663</v>
      </c>
      <c r="L113" s="41">
        <v>135</v>
      </c>
      <c r="M113" s="41">
        <v>157</v>
      </c>
      <c r="N113" s="43">
        <f t="shared" si="20"/>
        <v>28</v>
      </c>
      <c r="O113" s="77">
        <f>ImpliedCallVolatility(F113,G113,((D113)/365),B113,I113,C113)</f>
        <v>0.11150360107421875</v>
      </c>
      <c r="P113" s="77">
        <f>ImpliedPutVolatility(F113,H113,((D113)/365),B113,J113,C113)</f>
        <v>0.17711639404296875</v>
      </c>
      <c r="Q113" t="str">
        <f t="shared" si="21"/>
        <v>Buy</v>
      </c>
      <c r="R113">
        <f t="shared" si="22"/>
        <v>224</v>
      </c>
      <c r="S113">
        <f t="shared" si="23"/>
        <v>26637</v>
      </c>
      <c r="T113">
        <f t="shared" si="24"/>
        <v>26189</v>
      </c>
      <c r="U113" s="36">
        <v>0.63541666666666663</v>
      </c>
      <c r="V113">
        <v>26400</v>
      </c>
      <c r="AB113">
        <v>26412</v>
      </c>
      <c r="AC113">
        <v>26450</v>
      </c>
      <c r="AE113">
        <f t="shared" si="15"/>
        <v>38</v>
      </c>
      <c r="AF113">
        <f t="shared" si="25"/>
        <v>2978</v>
      </c>
      <c r="AI113">
        <f t="shared" si="16"/>
        <v>56000</v>
      </c>
      <c r="AJ113">
        <f t="shared" si="17"/>
        <v>7600</v>
      </c>
      <c r="AL113">
        <f t="shared" si="18"/>
        <v>63600</v>
      </c>
      <c r="AM113">
        <f t="shared" si="19"/>
        <v>3707700</v>
      </c>
    </row>
    <row r="114" spans="1:40">
      <c r="A114" s="41"/>
      <c r="B114" s="63">
        <v>0.1</v>
      </c>
      <c r="C114" s="63">
        <v>0</v>
      </c>
      <c r="D114" s="64">
        <v>3</v>
      </c>
      <c r="E114" s="44">
        <v>43270</v>
      </c>
      <c r="F114" s="41">
        <v>26350</v>
      </c>
      <c r="G114" s="41">
        <v>26300</v>
      </c>
      <c r="H114" s="41">
        <f>G114</f>
        <v>26300</v>
      </c>
      <c r="I114" s="41">
        <v>130</v>
      </c>
      <c r="J114" s="41">
        <v>147</v>
      </c>
      <c r="K114" s="46">
        <v>0.63541666666666663</v>
      </c>
      <c r="L114" s="41">
        <v>109</v>
      </c>
      <c r="M114" s="41">
        <v>150</v>
      </c>
      <c r="N114" s="43">
        <f t="shared" si="20"/>
        <v>18</v>
      </c>
      <c r="O114" s="77">
        <f>ImpliedCallVolatility(F114,G114,((D114)/365),B114,I114,C114)</f>
        <v>9.426116943359375E-2</v>
      </c>
      <c r="P114" s="77">
        <f>ImpliedPutVolatility(F114,H114,((D114)/365),B114,J114,C114)</f>
        <v>0.18970489501953125</v>
      </c>
      <c r="Q114" t="str">
        <f t="shared" si="21"/>
        <v>Buy</v>
      </c>
      <c r="R114">
        <f t="shared" si="22"/>
        <v>193.89999999999998</v>
      </c>
      <c r="S114">
        <f t="shared" si="23"/>
        <v>26543.9</v>
      </c>
      <c r="T114">
        <f t="shared" si="24"/>
        <v>26156.1</v>
      </c>
      <c r="U114" s="36">
        <v>0.63541666666666663</v>
      </c>
      <c r="V114">
        <v>26269</v>
      </c>
      <c r="AB114">
        <v>26350</v>
      </c>
      <c r="AC114">
        <v>26323</v>
      </c>
      <c r="AE114">
        <f t="shared" si="15"/>
        <v>-27</v>
      </c>
      <c r="AF114">
        <f t="shared" si="25"/>
        <v>2951</v>
      </c>
      <c r="AI114">
        <f t="shared" si="16"/>
        <v>36000</v>
      </c>
      <c r="AJ114">
        <f t="shared" si="17"/>
        <v>-5400</v>
      </c>
      <c r="AL114">
        <f t="shared" si="18"/>
        <v>30600</v>
      </c>
      <c r="AM114">
        <f t="shared" si="19"/>
        <v>3738300</v>
      </c>
    </row>
    <row r="115" spans="1:40">
      <c r="A115" s="41" t="s">
        <v>57</v>
      </c>
      <c r="B115" s="63">
        <v>0.1</v>
      </c>
      <c r="C115" s="63">
        <v>0</v>
      </c>
      <c r="D115" s="64">
        <v>2</v>
      </c>
      <c r="E115" s="44">
        <v>43271</v>
      </c>
      <c r="F115" s="41">
        <v>26349</v>
      </c>
      <c r="G115" s="41">
        <v>26300</v>
      </c>
      <c r="H115" s="41">
        <f>G115</f>
        <v>26300</v>
      </c>
      <c r="I115" s="41">
        <v>122</v>
      </c>
      <c r="J115" s="41">
        <v>94</v>
      </c>
      <c r="K115" s="46">
        <v>0.45833333333333331</v>
      </c>
      <c r="L115" s="41">
        <v>187</v>
      </c>
      <c r="M115" s="41">
        <v>48</v>
      </c>
      <c r="N115" s="43">
        <f>(I115+J115)-(L115+M115)</f>
        <v>-19</v>
      </c>
      <c r="O115" s="77">
        <f>ImpliedCallVolatility(F115,G115,((D115)/365),B115,I115,C115)</f>
        <v>0.11150360107421875</v>
      </c>
      <c r="P115" s="77">
        <f>ImpliedPutVolatility(F115,H115,((D115)/365),B115,J115,C115)</f>
        <v>0.15842437744140625</v>
      </c>
      <c r="Q115" t="str">
        <f t="shared" si="21"/>
        <v>Buy</v>
      </c>
      <c r="R115">
        <f t="shared" si="22"/>
        <v>151.19999999999999</v>
      </c>
      <c r="S115">
        <f t="shared" si="23"/>
        <v>26500.2</v>
      </c>
      <c r="T115">
        <f t="shared" si="24"/>
        <v>26197.8</v>
      </c>
      <c r="U115" s="36">
        <v>0.61458333333333337</v>
      </c>
      <c r="V115">
        <v>26554</v>
      </c>
      <c r="AB115">
        <v>26349</v>
      </c>
      <c r="AC115">
        <v>26549</v>
      </c>
      <c r="AE115">
        <f t="shared" si="15"/>
        <v>200</v>
      </c>
      <c r="AF115">
        <f t="shared" si="25"/>
        <v>3151</v>
      </c>
      <c r="AI115">
        <f t="shared" si="16"/>
        <v>-38000</v>
      </c>
      <c r="AJ115">
        <f t="shared" si="17"/>
        <v>40000</v>
      </c>
      <c r="AL115">
        <f t="shared" si="18"/>
        <v>2000</v>
      </c>
      <c r="AM115">
        <f t="shared" si="19"/>
        <v>3740300</v>
      </c>
    </row>
    <row r="116" spans="1:40" ht="13.5" thickBot="1">
      <c r="A116" s="41" t="s">
        <v>58</v>
      </c>
      <c r="B116" s="63">
        <v>0.1</v>
      </c>
      <c r="C116" s="63">
        <v>0</v>
      </c>
      <c r="D116" s="64">
        <v>1</v>
      </c>
      <c r="E116" s="48">
        <v>43272</v>
      </c>
      <c r="F116" s="41">
        <v>26617</v>
      </c>
      <c r="G116" s="41">
        <v>26600</v>
      </c>
      <c r="H116" s="41">
        <v>26600</v>
      </c>
      <c r="I116" s="41">
        <v>84</v>
      </c>
      <c r="J116" s="41">
        <v>42</v>
      </c>
      <c r="K116" s="46">
        <v>0.48958333333333331</v>
      </c>
      <c r="L116" s="41">
        <v>19</v>
      </c>
      <c r="M116" s="41">
        <v>122</v>
      </c>
      <c r="N116" s="43">
        <f t="shared" si="20"/>
        <v>-15</v>
      </c>
      <c r="O116" s="77">
        <f>ImpliedCallVolatility(F116,G116,((D116)/365),B116,I116,C116)</f>
        <v>0.12813568115234375</v>
      </c>
      <c r="P116" s="77">
        <f>ImpliedPutVolatility(F116,H116,((D116)/365),B116,J116,C116)</f>
        <v>9.586334228515625E-2</v>
      </c>
      <c r="Q116" t="str">
        <f t="shared" si="21"/>
        <v>Sell</v>
      </c>
      <c r="R116">
        <f t="shared" si="22"/>
        <v>88.199999999999989</v>
      </c>
      <c r="S116">
        <f t="shared" si="23"/>
        <v>26705.200000000001</v>
      </c>
      <c r="T116">
        <f t="shared" si="24"/>
        <v>26528.799999999999</v>
      </c>
      <c r="U116" s="36">
        <v>0.63541666666666663</v>
      </c>
      <c r="V116">
        <v>26511</v>
      </c>
      <c r="AB116">
        <v>26610</v>
      </c>
      <c r="AC116">
        <v>26617</v>
      </c>
      <c r="AE116">
        <f t="shared" si="15"/>
        <v>7</v>
      </c>
      <c r="AF116">
        <f t="shared" si="25"/>
        <v>3158</v>
      </c>
      <c r="AI116">
        <f t="shared" si="16"/>
        <v>-30000</v>
      </c>
      <c r="AJ116">
        <f t="shared" si="17"/>
        <v>1400</v>
      </c>
      <c r="AL116">
        <f t="shared" si="18"/>
        <v>-28600</v>
      </c>
      <c r="AM116">
        <f t="shared" si="19"/>
        <v>3711700</v>
      </c>
    </row>
    <row r="117" spans="1:40">
      <c r="A117" s="41"/>
      <c r="B117" s="63">
        <v>0.1</v>
      </c>
      <c r="C117" s="63">
        <v>0</v>
      </c>
      <c r="D117" s="64">
        <v>5</v>
      </c>
      <c r="E117" s="42">
        <v>43273</v>
      </c>
      <c r="F117" s="41">
        <v>26453</v>
      </c>
      <c r="G117" s="41">
        <v>26400</v>
      </c>
      <c r="H117" s="41">
        <v>26400</v>
      </c>
      <c r="I117" s="41">
        <v>186</v>
      </c>
      <c r="J117" s="41">
        <v>166</v>
      </c>
      <c r="K117" s="46">
        <v>0.61249999999999993</v>
      </c>
      <c r="L117" s="41">
        <v>311</v>
      </c>
      <c r="M117" s="41">
        <v>70</v>
      </c>
      <c r="N117" s="43">
        <f t="shared" si="20"/>
        <v>-29</v>
      </c>
      <c r="O117" s="77">
        <f>ImpliedCallVolatility(F117,G117,((D117)/365),B117,I117,C117)</f>
        <v>0.11096954345703125</v>
      </c>
      <c r="P117" s="77">
        <f>ImpliedPutVolatility(F117,H117,((D117)/365),B117,J117,C117)</f>
        <v>0.16834259033203125</v>
      </c>
      <c r="Q117" t="str">
        <f t="shared" si="21"/>
        <v>Buy</v>
      </c>
      <c r="R117">
        <f t="shared" si="22"/>
        <v>246.39999999999998</v>
      </c>
      <c r="S117">
        <f t="shared" si="23"/>
        <v>26699.4</v>
      </c>
      <c r="T117">
        <f t="shared" si="24"/>
        <v>26206.6</v>
      </c>
      <c r="U117" s="36">
        <v>0.625</v>
      </c>
      <c r="V117">
        <v>26742</v>
      </c>
      <c r="AB117">
        <v>26453</v>
      </c>
      <c r="AC117">
        <v>26682</v>
      </c>
      <c r="AE117">
        <f t="shared" si="15"/>
        <v>229</v>
      </c>
      <c r="AF117">
        <f t="shared" si="25"/>
        <v>3387</v>
      </c>
      <c r="AI117">
        <f t="shared" si="16"/>
        <v>-58000</v>
      </c>
      <c r="AJ117">
        <f t="shared" si="17"/>
        <v>45800</v>
      </c>
      <c r="AL117">
        <f t="shared" si="18"/>
        <v>-12200</v>
      </c>
      <c r="AM117">
        <f t="shared" si="19"/>
        <v>3699500</v>
      </c>
    </row>
    <row r="118" spans="1:40">
      <c r="A118" s="41"/>
      <c r="B118" s="63">
        <v>0.1</v>
      </c>
      <c r="C118" s="63">
        <v>0</v>
      </c>
      <c r="D118" s="64">
        <v>4</v>
      </c>
      <c r="E118" s="44">
        <v>43276</v>
      </c>
      <c r="F118" s="41">
        <v>26693</v>
      </c>
      <c r="G118" s="41">
        <v>26700</v>
      </c>
      <c r="H118" s="41">
        <v>26700</v>
      </c>
      <c r="I118" s="41">
        <v>159</v>
      </c>
      <c r="J118" s="41">
        <v>145</v>
      </c>
      <c r="K118" s="46">
        <v>0.63541666666666663</v>
      </c>
      <c r="L118" s="41">
        <v>107</v>
      </c>
      <c r="M118" s="41">
        <v>189</v>
      </c>
      <c r="N118" s="43">
        <f t="shared" si="20"/>
        <v>8</v>
      </c>
      <c r="O118" s="77">
        <f>ImpliedCallVolatility(F118,G118,((D118)/365),B118,I118,C118)</f>
        <v>0.13248443603515625</v>
      </c>
      <c r="P118" s="77">
        <f>ImpliedPutVolatility(F118,H118,((D118)/365),B118,J118,C118)</f>
        <v>0.13988494873046875</v>
      </c>
      <c r="Q118" t="str">
        <f t="shared" si="21"/>
        <v>Buy</v>
      </c>
      <c r="R118">
        <f t="shared" si="22"/>
        <v>212.79999999999998</v>
      </c>
      <c r="S118">
        <f t="shared" si="23"/>
        <v>26905.8</v>
      </c>
      <c r="T118">
        <f t="shared" si="24"/>
        <v>26480.2</v>
      </c>
      <c r="U118" s="36">
        <v>0.63541666666666663</v>
      </c>
      <c r="V118">
        <v>26611</v>
      </c>
      <c r="AB118">
        <v>26693</v>
      </c>
      <c r="AC118">
        <v>26588</v>
      </c>
      <c r="AE118">
        <f t="shared" si="15"/>
        <v>-105</v>
      </c>
      <c r="AF118">
        <f t="shared" si="25"/>
        <v>3282</v>
      </c>
      <c r="AI118">
        <f t="shared" si="16"/>
        <v>16000</v>
      </c>
      <c r="AJ118">
        <f t="shared" si="17"/>
        <v>-21000</v>
      </c>
      <c r="AL118">
        <f t="shared" si="18"/>
        <v>-5000</v>
      </c>
      <c r="AM118">
        <f t="shared" si="19"/>
        <v>3694500</v>
      </c>
    </row>
    <row r="119" spans="1:40">
      <c r="A119" s="41"/>
      <c r="B119" s="63">
        <v>0.1</v>
      </c>
      <c r="C119" s="63">
        <v>0</v>
      </c>
      <c r="D119" s="64">
        <v>3</v>
      </c>
      <c r="E119" s="44">
        <v>43277</v>
      </c>
      <c r="F119" s="41">
        <v>26510</v>
      </c>
      <c r="G119" s="41">
        <v>26500</v>
      </c>
      <c r="H119" s="41">
        <v>26500</v>
      </c>
      <c r="I119" s="41">
        <v>144</v>
      </c>
      <c r="J119" s="41">
        <v>138</v>
      </c>
      <c r="K119" s="46">
        <v>0.5</v>
      </c>
      <c r="L119" s="41">
        <v>257</v>
      </c>
      <c r="M119" s="41">
        <v>58</v>
      </c>
      <c r="N119" s="43">
        <f t="shared" si="20"/>
        <v>-33</v>
      </c>
      <c r="O119" s="77">
        <f>ImpliedCallVolatility(F119,G119,((D119)/365),B119,I119,C119)</f>
        <v>0.13301849365234375</v>
      </c>
      <c r="P119" s="77">
        <f>ImpliedPutVolatility(F119,H119,((D119)/365),B119,J119,C119)</f>
        <v>0.16002655029296875</v>
      </c>
      <c r="Q119" t="str">
        <f t="shared" si="21"/>
        <v>Buy</v>
      </c>
      <c r="R119">
        <f t="shared" si="22"/>
        <v>197.39999999999998</v>
      </c>
      <c r="S119">
        <f t="shared" si="23"/>
        <v>26707.4</v>
      </c>
      <c r="T119">
        <f t="shared" si="24"/>
        <v>26312.6</v>
      </c>
      <c r="U119" s="36">
        <v>0.53125</v>
      </c>
      <c r="V119">
        <v>26712</v>
      </c>
      <c r="AB119">
        <v>26510</v>
      </c>
      <c r="AC119">
        <v>26668</v>
      </c>
      <c r="AE119">
        <f t="shared" si="15"/>
        <v>158</v>
      </c>
      <c r="AF119">
        <f t="shared" si="25"/>
        <v>3440</v>
      </c>
      <c r="AI119">
        <f t="shared" ref="AI119:AI182" si="27">N119*2000</f>
        <v>-66000</v>
      </c>
      <c r="AJ119">
        <f t="shared" ref="AJ119:AJ182" si="28">AE119*200</f>
        <v>31600</v>
      </c>
      <c r="AL119">
        <f t="shared" ref="AL119:AL182" si="29">AI119+AJ119</f>
        <v>-34400</v>
      </c>
      <c r="AM119">
        <f t="shared" ref="AM119:AM182" si="30">AL119+AM118</f>
        <v>3660100</v>
      </c>
    </row>
    <row r="120" spans="1:40">
      <c r="A120" s="41" t="s">
        <v>57</v>
      </c>
      <c r="B120" s="63">
        <v>0.1</v>
      </c>
      <c r="C120" s="63">
        <v>0</v>
      </c>
      <c r="D120" s="64">
        <v>2</v>
      </c>
      <c r="E120" s="44">
        <v>43278</v>
      </c>
      <c r="F120" s="41">
        <v>26559</v>
      </c>
      <c r="G120" s="41">
        <v>26500</v>
      </c>
      <c r="H120" s="41">
        <v>26500</v>
      </c>
      <c r="I120" s="41">
        <v>135</v>
      </c>
      <c r="J120" s="41">
        <v>94</v>
      </c>
      <c r="K120" s="46">
        <v>0.55208333333333337</v>
      </c>
      <c r="L120" s="41">
        <v>43</v>
      </c>
      <c r="M120" s="41">
        <v>189</v>
      </c>
      <c r="N120" s="43">
        <f t="shared" si="20"/>
        <v>-3</v>
      </c>
      <c r="O120" s="77">
        <f>ImpliedCallVolatility(F120,G120,((D120)/365),B120,I120,C120)</f>
        <v>0.11959075927734375</v>
      </c>
      <c r="P120" s="77">
        <f>ImpliedPutVolatility(F120,H120,((D120)/365),B120,J120,C120)</f>
        <v>0.16262054443359375</v>
      </c>
      <c r="Q120" t="str">
        <f t="shared" si="21"/>
        <v>Buy</v>
      </c>
      <c r="R120">
        <f t="shared" si="22"/>
        <v>160.29999999999998</v>
      </c>
      <c r="S120">
        <f t="shared" si="23"/>
        <v>26719.3</v>
      </c>
      <c r="T120">
        <f t="shared" si="24"/>
        <v>26398.7</v>
      </c>
      <c r="U120" s="36">
        <v>0.5625</v>
      </c>
      <c r="V120">
        <v>26338</v>
      </c>
      <c r="AB120">
        <v>26559</v>
      </c>
      <c r="AC120">
        <v>26533</v>
      </c>
      <c r="AE120">
        <f t="shared" si="15"/>
        <v>-26</v>
      </c>
      <c r="AF120">
        <f t="shared" si="25"/>
        <v>3414</v>
      </c>
      <c r="AI120">
        <f t="shared" si="27"/>
        <v>-6000</v>
      </c>
      <c r="AJ120">
        <f t="shared" si="28"/>
        <v>-5200</v>
      </c>
      <c r="AL120">
        <f t="shared" si="29"/>
        <v>-11200</v>
      </c>
      <c r="AM120">
        <f t="shared" si="30"/>
        <v>3648900</v>
      </c>
    </row>
    <row r="121" spans="1:40" ht="13.5" thickBot="1">
      <c r="A121" s="41" t="s">
        <v>58</v>
      </c>
      <c r="B121" s="63">
        <v>0.1</v>
      </c>
      <c r="C121" s="63">
        <v>0</v>
      </c>
      <c r="D121" s="64">
        <v>1</v>
      </c>
      <c r="E121" s="48">
        <v>43279</v>
      </c>
      <c r="F121" s="41">
        <v>26351</v>
      </c>
      <c r="G121" s="41">
        <v>26400</v>
      </c>
      <c r="H121" s="41">
        <v>26400</v>
      </c>
      <c r="I121" s="41">
        <v>66</v>
      </c>
      <c r="J121" s="41">
        <v>88</v>
      </c>
      <c r="K121" s="46">
        <v>0.51736111111111105</v>
      </c>
      <c r="L121" s="41">
        <v>34</v>
      </c>
      <c r="M121" s="41">
        <v>126</v>
      </c>
      <c r="N121" s="43">
        <f t="shared" si="20"/>
        <v>-6</v>
      </c>
      <c r="O121" s="77">
        <f>ImpliedCallVolatility(F121,G121,((D121)/365),B121,I121,C121)</f>
        <v>0.15483856201171875</v>
      </c>
      <c r="P121" s="77">
        <f>ImpliedPutVolatility(F121,H121,((D121)/365),B121,J121,C121)</f>
        <v>0.11798858642578125</v>
      </c>
      <c r="Q121" t="str">
        <f t="shared" si="21"/>
        <v>Sell</v>
      </c>
      <c r="R121">
        <f t="shared" si="22"/>
        <v>107.8</v>
      </c>
      <c r="S121">
        <f t="shared" si="23"/>
        <v>26458.799999999999</v>
      </c>
      <c r="T121">
        <f t="shared" si="24"/>
        <v>26243.200000000001</v>
      </c>
      <c r="U121" s="36">
        <v>0.63541666666666663</v>
      </c>
      <c r="V121">
        <v>26340</v>
      </c>
      <c r="AB121">
        <v>26487</v>
      </c>
      <c r="AC121">
        <v>26350</v>
      </c>
      <c r="AE121">
        <f t="shared" si="15"/>
        <v>-137</v>
      </c>
      <c r="AF121">
        <f t="shared" si="25"/>
        <v>3277</v>
      </c>
      <c r="AI121">
        <f t="shared" si="27"/>
        <v>-12000</v>
      </c>
      <c r="AJ121">
        <f t="shared" si="28"/>
        <v>-27400</v>
      </c>
      <c r="AL121">
        <f t="shared" si="29"/>
        <v>-39400</v>
      </c>
      <c r="AM121">
        <f t="shared" si="30"/>
        <v>3609500</v>
      </c>
    </row>
    <row r="122" spans="1:40">
      <c r="A122" s="41"/>
      <c r="B122" s="63">
        <v>0.1</v>
      </c>
      <c r="C122" s="63">
        <v>0</v>
      </c>
      <c r="D122" s="64">
        <v>5</v>
      </c>
      <c r="E122" s="42">
        <v>43280</v>
      </c>
      <c r="F122" s="41">
        <v>26378</v>
      </c>
      <c r="G122" s="41">
        <v>26400</v>
      </c>
      <c r="H122" s="41">
        <v>26400</v>
      </c>
      <c r="I122" s="41">
        <v>185</v>
      </c>
      <c r="J122" s="41">
        <v>198</v>
      </c>
      <c r="K122" s="46">
        <v>0.63541666666666663</v>
      </c>
      <c r="L122" s="41">
        <v>170</v>
      </c>
      <c r="M122" s="41">
        <v>177</v>
      </c>
      <c r="N122" s="43">
        <f t="shared" si="20"/>
        <v>36</v>
      </c>
      <c r="O122" s="77">
        <f>ImpliedCallVolatility(F122,G122,((D122)/365),B122,I122,C122)</f>
        <v>0.14446258544921875</v>
      </c>
      <c r="P122" s="77">
        <f>ImpliedPutVolatility(F122,H122,((D122)/365),B122,J122,C122)</f>
        <v>0.16651153564453125</v>
      </c>
      <c r="Q122" t="str">
        <f t="shared" si="21"/>
        <v>Buy</v>
      </c>
      <c r="R122">
        <f t="shared" si="22"/>
        <v>268.09999999999997</v>
      </c>
      <c r="S122">
        <f t="shared" si="23"/>
        <v>26646.1</v>
      </c>
      <c r="T122">
        <f t="shared" si="24"/>
        <v>26109.9</v>
      </c>
      <c r="U122" s="36">
        <v>0.63541666666666663</v>
      </c>
      <c r="V122">
        <v>26382</v>
      </c>
      <c r="X122" t="s">
        <v>74</v>
      </c>
      <c r="Y122" s="72">
        <f>SUM(N102:N122)</f>
        <v>163</v>
      </c>
      <c r="AB122">
        <v>26378</v>
      </c>
      <c r="AC122">
        <v>26345</v>
      </c>
      <c r="AE122">
        <f t="shared" si="15"/>
        <v>-33</v>
      </c>
      <c r="AF122">
        <f t="shared" si="25"/>
        <v>3244</v>
      </c>
      <c r="AG122">
        <f>SUM(AE102:AE122)</f>
        <v>-109</v>
      </c>
      <c r="AI122">
        <f t="shared" si="27"/>
        <v>72000</v>
      </c>
      <c r="AJ122">
        <f t="shared" si="28"/>
        <v>-6600</v>
      </c>
      <c r="AL122">
        <f t="shared" si="29"/>
        <v>65400</v>
      </c>
      <c r="AM122">
        <f t="shared" si="30"/>
        <v>3674900</v>
      </c>
      <c r="AN122">
        <f>AM122-AM101</f>
        <v>304200</v>
      </c>
    </row>
    <row r="123" spans="1:40">
      <c r="A123" s="41"/>
      <c r="B123" s="63">
        <v>0.1</v>
      </c>
      <c r="C123" s="63">
        <v>0</v>
      </c>
      <c r="D123" s="64">
        <v>4</v>
      </c>
      <c r="E123" s="44">
        <v>43283</v>
      </c>
      <c r="F123" s="41">
        <v>26288</v>
      </c>
      <c r="G123" s="41">
        <v>26300</v>
      </c>
      <c r="H123" s="41">
        <v>26300</v>
      </c>
      <c r="I123" s="41">
        <v>169</v>
      </c>
      <c r="J123" s="41">
        <v>165</v>
      </c>
      <c r="K123" s="46">
        <v>0.52777777777777779</v>
      </c>
      <c r="L123" s="41">
        <v>280</v>
      </c>
      <c r="M123" s="41">
        <v>82</v>
      </c>
      <c r="N123" s="43">
        <f t="shared" si="20"/>
        <v>-28</v>
      </c>
      <c r="O123" s="77">
        <f>ImpliedCallVolatility(F123,G123,((D123)/365),B123,I123,C123)</f>
        <v>0.14621734619140625</v>
      </c>
      <c r="P123" s="77">
        <f>ImpliedPutVolatility(F123,H123,((D123)/365),B123,J123,C123)</f>
        <v>0.15789031982421875</v>
      </c>
      <c r="Q123" t="str">
        <f t="shared" si="21"/>
        <v>Buy</v>
      </c>
      <c r="R123">
        <f t="shared" si="22"/>
        <v>233.79999999999998</v>
      </c>
      <c r="S123">
        <f t="shared" si="23"/>
        <v>26521.8</v>
      </c>
      <c r="T123">
        <f t="shared" si="24"/>
        <v>26054.2</v>
      </c>
      <c r="U123" s="36">
        <v>0.53125</v>
      </c>
      <c r="V123">
        <v>26087</v>
      </c>
      <c r="AB123">
        <v>26288</v>
      </c>
      <c r="AC123">
        <v>26088</v>
      </c>
      <c r="AE123">
        <f t="shared" si="15"/>
        <v>-200</v>
      </c>
      <c r="AF123">
        <f t="shared" si="25"/>
        <v>3044</v>
      </c>
      <c r="AI123">
        <f t="shared" si="27"/>
        <v>-56000</v>
      </c>
      <c r="AJ123">
        <f t="shared" si="28"/>
        <v>-40000</v>
      </c>
      <c r="AL123">
        <f t="shared" si="29"/>
        <v>-96000</v>
      </c>
      <c r="AM123">
        <f t="shared" si="30"/>
        <v>3578900</v>
      </c>
    </row>
    <row r="124" spans="1:40">
      <c r="A124" s="41"/>
      <c r="B124" s="63">
        <v>0.1</v>
      </c>
      <c r="C124" s="63">
        <v>0</v>
      </c>
      <c r="D124" s="64">
        <v>3</v>
      </c>
      <c r="E124" s="44">
        <v>43284</v>
      </c>
      <c r="F124" s="41">
        <v>26214</v>
      </c>
      <c r="G124" s="41">
        <v>26200</v>
      </c>
      <c r="H124" s="41">
        <v>26200</v>
      </c>
      <c r="I124" s="41">
        <v>177</v>
      </c>
      <c r="J124" s="41">
        <v>123</v>
      </c>
      <c r="K124" s="46">
        <v>0.63541666666666663</v>
      </c>
      <c r="L124" s="41">
        <v>158</v>
      </c>
      <c r="M124" s="41">
        <v>103</v>
      </c>
      <c r="N124" s="43">
        <f t="shared" si="20"/>
        <v>39</v>
      </c>
      <c r="O124" s="77">
        <f>ImpliedCallVolatility(F124,G124,((D124)/365),B124,I124,C124)</f>
        <v>0.16742706298828125</v>
      </c>
      <c r="P124" s="77">
        <f>ImpliedPutVolatility(F124,H124,((D124)/365),B124,J124,C124)</f>
        <v>0.14781951904296875</v>
      </c>
      <c r="Q124" t="str">
        <f t="shared" si="21"/>
        <v>Sell</v>
      </c>
      <c r="R124">
        <f t="shared" si="22"/>
        <v>210</v>
      </c>
      <c r="S124">
        <f t="shared" si="23"/>
        <v>26424</v>
      </c>
      <c r="T124">
        <f t="shared" si="24"/>
        <v>26004</v>
      </c>
      <c r="U124" s="36">
        <v>0.63541666666666663</v>
      </c>
      <c r="V124">
        <v>26196</v>
      </c>
      <c r="AB124">
        <v>26220</v>
      </c>
      <c r="AC124">
        <v>26213</v>
      </c>
      <c r="AE124">
        <f t="shared" si="15"/>
        <v>-7</v>
      </c>
      <c r="AF124">
        <f t="shared" si="25"/>
        <v>3037</v>
      </c>
      <c r="AI124">
        <f t="shared" si="27"/>
        <v>78000</v>
      </c>
      <c r="AJ124">
        <f t="shared" si="28"/>
        <v>-1400</v>
      </c>
      <c r="AL124">
        <f t="shared" si="29"/>
        <v>76600</v>
      </c>
      <c r="AM124">
        <f t="shared" si="30"/>
        <v>3655500</v>
      </c>
    </row>
    <row r="125" spans="1:40">
      <c r="A125" s="41" t="s">
        <v>57</v>
      </c>
      <c r="B125" s="63">
        <v>0.1</v>
      </c>
      <c r="C125" s="63">
        <v>0</v>
      </c>
      <c r="D125" s="64">
        <v>2</v>
      </c>
      <c r="E125" s="44">
        <v>43285</v>
      </c>
      <c r="F125" s="41">
        <v>26152</v>
      </c>
      <c r="G125" s="41">
        <v>26200</v>
      </c>
      <c r="H125" s="41">
        <v>26200</v>
      </c>
      <c r="I125" s="41">
        <v>98</v>
      </c>
      <c r="J125" s="41">
        <v>128</v>
      </c>
      <c r="K125" s="46">
        <v>0.57152777777777775</v>
      </c>
      <c r="L125" s="41">
        <v>41</v>
      </c>
      <c r="M125" s="41">
        <v>178</v>
      </c>
      <c r="N125" s="43">
        <f t="shared" si="20"/>
        <v>7</v>
      </c>
      <c r="O125" s="77">
        <f>ImpliedCallVolatility(F125,G125,((D125)/365),B125,I125,C125)</f>
        <v>0.14759063720703125</v>
      </c>
      <c r="P125" s="77">
        <f>ImpliedPutVolatility(F125,H125,((D125)/365),B125,J125,C125)</f>
        <v>0.14278411865234375</v>
      </c>
      <c r="Q125" t="str">
        <f t="shared" si="21"/>
        <v>Sell</v>
      </c>
      <c r="R125">
        <f t="shared" si="22"/>
        <v>158.19999999999999</v>
      </c>
      <c r="S125">
        <f t="shared" si="23"/>
        <v>26310.2</v>
      </c>
      <c r="T125">
        <f t="shared" si="24"/>
        <v>25993.8</v>
      </c>
      <c r="U125" s="36">
        <v>0.57291666666666663</v>
      </c>
      <c r="V125">
        <v>26360</v>
      </c>
      <c r="AB125">
        <v>26352</v>
      </c>
      <c r="AC125">
        <v>26152</v>
      </c>
      <c r="AE125">
        <f t="shared" si="15"/>
        <v>-200</v>
      </c>
      <c r="AF125">
        <f t="shared" si="25"/>
        <v>2837</v>
      </c>
      <c r="AI125">
        <f t="shared" si="27"/>
        <v>14000</v>
      </c>
      <c r="AJ125">
        <f t="shared" si="28"/>
        <v>-40000</v>
      </c>
      <c r="AL125">
        <f t="shared" si="29"/>
        <v>-26000</v>
      </c>
      <c r="AM125">
        <f t="shared" si="30"/>
        <v>3629500</v>
      </c>
    </row>
    <row r="126" spans="1:40" ht="13.5" thickBot="1">
      <c r="A126" s="41" t="s">
        <v>58</v>
      </c>
      <c r="B126" s="63">
        <v>0.1</v>
      </c>
      <c r="C126" s="63">
        <v>0</v>
      </c>
      <c r="D126" s="64">
        <v>1</v>
      </c>
      <c r="E126" s="48">
        <v>43286</v>
      </c>
      <c r="F126" s="41">
        <v>26474</v>
      </c>
      <c r="G126" s="41">
        <v>26500</v>
      </c>
      <c r="H126" s="41">
        <v>26500</v>
      </c>
      <c r="I126" s="41">
        <v>52</v>
      </c>
      <c r="J126" s="41">
        <v>82</v>
      </c>
      <c r="K126" s="46">
        <v>0.60763888888888895</v>
      </c>
      <c r="L126" s="41">
        <v>113</v>
      </c>
      <c r="M126" s="41">
        <v>6</v>
      </c>
      <c r="N126" s="43">
        <f t="shared" si="20"/>
        <v>15</v>
      </c>
      <c r="O126" s="77">
        <f>ImpliedCallVolatility(F126,G126,((D126)/365),B126,I126,C126)</f>
        <v>0.11013031005859375</v>
      </c>
      <c r="P126" s="77">
        <f>ImpliedPutVolatility(F126,H126,((D126)/365),B126,J126,C126)</f>
        <v>0.13065338134765625</v>
      </c>
      <c r="Q126" t="str">
        <f t="shared" si="21"/>
        <v>Buy</v>
      </c>
      <c r="R126">
        <f t="shared" si="22"/>
        <v>93.8</v>
      </c>
      <c r="S126">
        <f t="shared" si="23"/>
        <v>26567.8</v>
      </c>
      <c r="T126">
        <f t="shared" si="24"/>
        <v>26380.2</v>
      </c>
      <c r="U126" s="36">
        <v>0.63541666666666663</v>
      </c>
      <c r="V126">
        <v>26519</v>
      </c>
      <c r="AB126">
        <v>26475</v>
      </c>
      <c r="AC126">
        <v>26512</v>
      </c>
      <c r="AE126">
        <f t="shared" si="15"/>
        <v>37</v>
      </c>
      <c r="AF126">
        <f t="shared" si="25"/>
        <v>2874</v>
      </c>
      <c r="AI126">
        <f t="shared" si="27"/>
        <v>30000</v>
      </c>
      <c r="AJ126">
        <f t="shared" si="28"/>
        <v>7400</v>
      </c>
      <c r="AL126">
        <f t="shared" si="29"/>
        <v>37400</v>
      </c>
      <c r="AM126">
        <f t="shared" si="30"/>
        <v>3666900</v>
      </c>
    </row>
    <row r="127" spans="1:40">
      <c r="A127" s="41"/>
      <c r="B127" s="63">
        <v>0.1</v>
      </c>
      <c r="C127" s="63">
        <v>0</v>
      </c>
      <c r="D127" s="64">
        <v>5</v>
      </c>
      <c r="E127" s="42">
        <v>43287</v>
      </c>
      <c r="F127" s="41">
        <v>26517</v>
      </c>
      <c r="G127" s="41">
        <v>26500</v>
      </c>
      <c r="H127" s="41">
        <v>26500</v>
      </c>
      <c r="I127" s="41">
        <v>176</v>
      </c>
      <c r="J127" s="41">
        <v>165</v>
      </c>
      <c r="K127" s="46">
        <v>0.63541666666666663</v>
      </c>
      <c r="L127" s="41">
        <v>159</v>
      </c>
      <c r="M127" s="41">
        <v>157</v>
      </c>
      <c r="N127" s="43">
        <f t="shared" si="20"/>
        <v>25</v>
      </c>
      <c r="O127" s="77">
        <f>ImpliedCallVolatility(F127,G127,((D127)/365),B127,I127,C127)</f>
        <v>0.11951446533203125</v>
      </c>
      <c r="P127" s="77">
        <f>ImpliedPutVolatility(F127,H127,((D127)/365),B127,J127,C127)</f>
        <v>0.15399932861328125</v>
      </c>
      <c r="Q127" t="str">
        <f t="shared" si="21"/>
        <v>Buy</v>
      </c>
      <c r="R127">
        <f t="shared" si="22"/>
        <v>238.7</v>
      </c>
      <c r="S127">
        <f t="shared" si="23"/>
        <v>26755.7</v>
      </c>
      <c r="T127">
        <f t="shared" si="24"/>
        <v>26278.3</v>
      </c>
      <c r="U127" s="36">
        <v>0.63541666666666663</v>
      </c>
      <c r="V127">
        <v>26492</v>
      </c>
      <c r="AB127">
        <v>26516</v>
      </c>
      <c r="AC127">
        <v>26516</v>
      </c>
      <c r="AE127">
        <f t="shared" si="15"/>
        <v>0</v>
      </c>
      <c r="AF127">
        <f t="shared" si="25"/>
        <v>2874</v>
      </c>
      <c r="AI127">
        <f t="shared" si="27"/>
        <v>50000</v>
      </c>
      <c r="AJ127">
        <f t="shared" si="28"/>
        <v>0</v>
      </c>
      <c r="AL127">
        <f t="shared" si="29"/>
        <v>50000</v>
      </c>
      <c r="AM127">
        <f t="shared" si="30"/>
        <v>3716900</v>
      </c>
    </row>
    <row r="128" spans="1:40">
      <c r="A128" s="41"/>
      <c r="B128" s="63">
        <v>0.1</v>
      </c>
      <c r="C128" s="63">
        <v>0</v>
      </c>
      <c r="D128" s="64">
        <v>4</v>
      </c>
      <c r="E128" s="44">
        <v>43290</v>
      </c>
      <c r="F128" s="41">
        <v>26648</v>
      </c>
      <c r="G128" s="41">
        <v>26600</v>
      </c>
      <c r="H128" s="41">
        <v>26600</v>
      </c>
      <c r="I128" s="41">
        <v>168</v>
      </c>
      <c r="J128" s="41">
        <v>111</v>
      </c>
      <c r="K128" s="46">
        <v>0.63541666666666663</v>
      </c>
      <c r="L128" s="41">
        <v>187</v>
      </c>
      <c r="M128" s="41">
        <v>77</v>
      </c>
      <c r="N128" s="43">
        <f t="shared" si="20"/>
        <v>15</v>
      </c>
      <c r="O128" s="77">
        <f>ImpliedCallVolatility(F128,G128,((D128)/365),B128,I128,C128)</f>
        <v>0.11310577392578125</v>
      </c>
      <c r="P128" s="77">
        <f>ImpliedPutVolatility(F128,H128,((D128)/365),B128,J128,C128)</f>
        <v>0.13172149658203125</v>
      </c>
      <c r="Q128" t="str">
        <f t="shared" si="21"/>
        <v>Buy</v>
      </c>
      <c r="R128">
        <f t="shared" si="22"/>
        <v>195.29999999999998</v>
      </c>
      <c r="S128">
        <f t="shared" si="23"/>
        <v>26843.3</v>
      </c>
      <c r="T128">
        <f t="shared" si="24"/>
        <v>26452.7</v>
      </c>
      <c r="U128" s="36">
        <v>0.63541666666666663</v>
      </c>
      <c r="V128">
        <v>26753</v>
      </c>
      <c r="AB128">
        <v>26648</v>
      </c>
      <c r="AC128">
        <v>26763</v>
      </c>
      <c r="AE128">
        <f t="shared" si="15"/>
        <v>115</v>
      </c>
      <c r="AF128">
        <f t="shared" si="25"/>
        <v>2989</v>
      </c>
      <c r="AI128">
        <f t="shared" si="27"/>
        <v>30000</v>
      </c>
      <c r="AJ128">
        <f t="shared" si="28"/>
        <v>23000</v>
      </c>
      <c r="AL128">
        <f t="shared" si="29"/>
        <v>53000</v>
      </c>
      <c r="AM128">
        <f t="shared" si="30"/>
        <v>3769900</v>
      </c>
    </row>
    <row r="129" spans="1:40">
      <c r="A129" s="41"/>
      <c r="B129" s="63">
        <v>0.1</v>
      </c>
      <c r="C129" s="63">
        <v>0</v>
      </c>
      <c r="D129" s="64">
        <v>3</v>
      </c>
      <c r="E129" s="44">
        <v>43291</v>
      </c>
      <c r="F129" s="41">
        <v>26875</v>
      </c>
      <c r="G129" s="41">
        <v>26800</v>
      </c>
      <c r="H129" s="41">
        <v>26800</v>
      </c>
      <c r="I129" s="41">
        <v>127</v>
      </c>
      <c r="J129" s="41">
        <v>97</v>
      </c>
      <c r="K129" s="46">
        <v>0.63541666666666663</v>
      </c>
      <c r="L129" s="41">
        <v>144</v>
      </c>
      <c r="M129" s="41">
        <v>66</v>
      </c>
      <c r="N129" s="43">
        <f t="shared" si="20"/>
        <v>14</v>
      </c>
      <c r="O129" s="77">
        <f>ImpliedCallVolatility(F129,G129,((D129)/365),B129,I129,C129)</f>
        <v>6.977081298828125E-2</v>
      </c>
      <c r="P129" s="77">
        <f>ImpliedPutVolatility(F129,H129,((D129)/365),B129,J129,C129)</f>
        <v>0.14446258544921875</v>
      </c>
      <c r="Q129" t="str">
        <f t="shared" si="21"/>
        <v>Buy</v>
      </c>
      <c r="R129">
        <f t="shared" si="22"/>
        <v>156.79999999999998</v>
      </c>
      <c r="S129">
        <f t="shared" si="23"/>
        <v>27031.8</v>
      </c>
      <c r="T129">
        <f t="shared" si="24"/>
        <v>26718.2</v>
      </c>
      <c r="U129" s="36">
        <v>0.63541666666666663</v>
      </c>
      <c r="V129">
        <v>26893</v>
      </c>
      <c r="AB129">
        <v>26875</v>
      </c>
      <c r="AC129">
        <v>26880</v>
      </c>
      <c r="AE129">
        <f t="shared" si="15"/>
        <v>5</v>
      </c>
      <c r="AF129">
        <f t="shared" si="25"/>
        <v>2994</v>
      </c>
      <c r="AI129">
        <f t="shared" si="27"/>
        <v>28000</v>
      </c>
      <c r="AJ129">
        <f t="shared" si="28"/>
        <v>1000</v>
      </c>
      <c r="AL129">
        <f t="shared" si="29"/>
        <v>29000</v>
      </c>
      <c r="AM129">
        <f t="shared" si="30"/>
        <v>3798900</v>
      </c>
    </row>
    <row r="130" spans="1:40">
      <c r="A130" s="41" t="s">
        <v>57</v>
      </c>
      <c r="B130" s="63">
        <v>0.1</v>
      </c>
      <c r="C130" s="63">
        <v>0</v>
      </c>
      <c r="D130" s="64">
        <v>2</v>
      </c>
      <c r="E130" s="44">
        <v>43292</v>
      </c>
      <c r="F130" s="41">
        <v>26881</v>
      </c>
      <c r="G130" s="41">
        <v>26800</v>
      </c>
      <c r="H130" s="41">
        <v>26800</v>
      </c>
      <c r="I130" s="41">
        <v>114</v>
      </c>
      <c r="J130" s="41">
        <v>80</v>
      </c>
      <c r="K130" s="46">
        <v>0.63541666666666663</v>
      </c>
      <c r="L130" s="41">
        <v>68</v>
      </c>
      <c r="M130" s="41">
        <v>86</v>
      </c>
      <c r="N130" s="43">
        <f t="shared" si="20"/>
        <v>40</v>
      </c>
      <c r="O130" s="77">
        <f>ImpliedCallVolatility(F130,G130,((D130)/365),B130,I130,C130)</f>
        <v>6.687164306640625E-2</v>
      </c>
      <c r="P130" s="77">
        <f>ImpliedPutVolatility(F130,H130,((D130)/365),B130,J130,C130)</f>
        <v>0.15384674072265625</v>
      </c>
      <c r="Q130" t="str">
        <f t="shared" si="21"/>
        <v>Buy</v>
      </c>
      <c r="R130">
        <f t="shared" si="22"/>
        <v>135.79999999999998</v>
      </c>
      <c r="S130">
        <f t="shared" si="23"/>
        <v>27016.799999999999</v>
      </c>
      <c r="T130">
        <f t="shared" si="24"/>
        <v>26745.200000000001</v>
      </c>
      <c r="U130" s="36">
        <v>0.63541666666666663</v>
      </c>
      <c r="V130">
        <v>26813</v>
      </c>
      <c r="AB130">
        <v>26881</v>
      </c>
      <c r="AC130">
        <v>26835</v>
      </c>
      <c r="AE130">
        <f t="shared" si="15"/>
        <v>-46</v>
      </c>
      <c r="AF130">
        <f t="shared" si="25"/>
        <v>2948</v>
      </c>
      <c r="AI130">
        <f t="shared" si="27"/>
        <v>80000</v>
      </c>
      <c r="AJ130">
        <f t="shared" si="28"/>
        <v>-9200</v>
      </c>
      <c r="AL130">
        <f t="shared" si="29"/>
        <v>70800</v>
      </c>
      <c r="AM130">
        <f t="shared" si="30"/>
        <v>3869700</v>
      </c>
    </row>
    <row r="131" spans="1:40" ht="13.5" thickBot="1">
      <c r="A131" s="41" t="s">
        <v>58</v>
      </c>
      <c r="B131" s="63">
        <v>0.1</v>
      </c>
      <c r="C131" s="63">
        <v>0</v>
      </c>
      <c r="D131" s="64">
        <v>1</v>
      </c>
      <c r="E131" s="48">
        <v>43293</v>
      </c>
      <c r="F131" s="41">
        <v>27061</v>
      </c>
      <c r="G131" s="41">
        <v>27000</v>
      </c>
      <c r="H131" s="41">
        <v>27000</v>
      </c>
      <c r="I131" s="41">
        <v>86</v>
      </c>
      <c r="J131" s="41">
        <v>47</v>
      </c>
      <c r="K131" s="46">
        <v>0.41666666666666669</v>
      </c>
      <c r="L131" s="41">
        <v>102</v>
      </c>
      <c r="M131" s="41">
        <v>31</v>
      </c>
      <c r="N131" s="43">
        <f t="shared" ref="N131:N194" si="31">(I131+J131)-(L131+M131)</f>
        <v>0</v>
      </c>
      <c r="O131" s="77">
        <f>ImpliedCallVolatility(F131,G131,((D131)/365),B131,I131,C131)</f>
        <v>7.709503173828125E-2</v>
      </c>
      <c r="P131" s="77">
        <f>ImpliedPutVolatility(F131,H131,((D131)/365),B131,J131,C131)</f>
        <v>0.13530731201171875</v>
      </c>
      <c r="Q131" t="str">
        <f t="shared" si="21"/>
        <v>Buy</v>
      </c>
      <c r="R131">
        <f t="shared" si="22"/>
        <v>93.1</v>
      </c>
      <c r="S131">
        <f t="shared" si="23"/>
        <v>27154.1</v>
      </c>
      <c r="T131">
        <f t="shared" si="24"/>
        <v>26967.9</v>
      </c>
      <c r="U131" s="36">
        <v>0.63541666666666663</v>
      </c>
      <c r="V131">
        <v>27020</v>
      </c>
      <c r="AB131">
        <v>27061</v>
      </c>
      <c r="AC131">
        <v>27025</v>
      </c>
      <c r="AE131">
        <f t="shared" si="15"/>
        <v>-36</v>
      </c>
      <c r="AF131">
        <f t="shared" si="25"/>
        <v>2912</v>
      </c>
      <c r="AI131">
        <f t="shared" si="27"/>
        <v>0</v>
      </c>
      <c r="AJ131">
        <f t="shared" si="28"/>
        <v>-7200</v>
      </c>
      <c r="AL131">
        <f t="shared" si="29"/>
        <v>-7200</v>
      </c>
      <c r="AM131">
        <f t="shared" si="30"/>
        <v>3862500</v>
      </c>
    </row>
    <row r="132" spans="1:40">
      <c r="A132" s="41"/>
      <c r="B132" s="63">
        <v>0.1</v>
      </c>
      <c r="C132" s="63">
        <v>0</v>
      </c>
      <c r="D132" s="64">
        <v>5</v>
      </c>
      <c r="E132" s="42">
        <v>43294</v>
      </c>
      <c r="F132" s="41">
        <v>27009</v>
      </c>
      <c r="G132" s="41">
        <v>27000</v>
      </c>
      <c r="H132" s="41">
        <f t="shared" ref="H132:H146" si="32">G132</f>
        <v>27000</v>
      </c>
      <c r="I132" s="41">
        <v>177</v>
      </c>
      <c r="J132" s="41">
        <v>169</v>
      </c>
      <c r="K132" s="46">
        <v>0.13541666666666666</v>
      </c>
      <c r="L132" s="41">
        <v>148</v>
      </c>
      <c r="M132" s="41">
        <v>169</v>
      </c>
      <c r="N132" s="43">
        <f t="shared" si="31"/>
        <v>29</v>
      </c>
      <c r="O132" s="77">
        <f>ImpliedCallVolatility(F132,G132,((D132)/365),B132,I132,C132)</f>
        <v>0.12134552001953125</v>
      </c>
      <c r="P132" s="77">
        <f>ImpliedPutVolatility(F132,H132,((D132)/365),B132,J132,C132)</f>
        <v>0.15163421630859375</v>
      </c>
      <c r="Q132" t="str">
        <f t="shared" ref="Q132:Q195" si="33">IF(P132&gt;O132,"Buy","Sell")</f>
        <v>Buy</v>
      </c>
      <c r="R132">
        <f t="shared" ref="R132:R195" si="34">(I132+J132)*0.7</f>
        <v>242.2</v>
      </c>
      <c r="S132">
        <f t="shared" ref="S132:S195" si="35">F132+R132</f>
        <v>27251.200000000001</v>
      </c>
      <c r="T132">
        <f t="shared" ref="T132:T195" si="36">F132-R132</f>
        <v>26766.799999999999</v>
      </c>
      <c r="U132" s="36">
        <v>0.63541666666666663</v>
      </c>
      <c r="V132">
        <v>26941</v>
      </c>
      <c r="AB132">
        <v>27009</v>
      </c>
      <c r="AC132">
        <v>26926</v>
      </c>
      <c r="AE132">
        <f t="shared" si="15"/>
        <v>-83</v>
      </c>
      <c r="AF132">
        <f t="shared" ref="AF132:AF195" si="37">AF131+AE132</f>
        <v>2829</v>
      </c>
      <c r="AI132">
        <f t="shared" si="27"/>
        <v>58000</v>
      </c>
      <c r="AJ132">
        <f t="shared" si="28"/>
        <v>-16600</v>
      </c>
      <c r="AL132">
        <f t="shared" si="29"/>
        <v>41400</v>
      </c>
      <c r="AM132">
        <f t="shared" si="30"/>
        <v>3903900</v>
      </c>
    </row>
    <row r="133" spans="1:40">
      <c r="A133" s="41"/>
      <c r="B133" s="63">
        <v>0.1</v>
      </c>
      <c r="C133" s="63">
        <v>0</v>
      </c>
      <c r="D133" s="64">
        <v>4</v>
      </c>
      <c r="E133" s="44">
        <v>43297</v>
      </c>
      <c r="F133" s="41">
        <v>26838</v>
      </c>
      <c r="G133" s="41">
        <v>26900</v>
      </c>
      <c r="H133" s="41">
        <f t="shared" si="32"/>
        <v>26900</v>
      </c>
      <c r="I133" s="41">
        <v>128</v>
      </c>
      <c r="J133" s="41">
        <v>158</v>
      </c>
      <c r="K133" s="46">
        <v>0.63541666666666663</v>
      </c>
      <c r="L133" s="41">
        <v>72</v>
      </c>
      <c r="M133" s="41">
        <v>204</v>
      </c>
      <c r="N133" s="43">
        <f t="shared" si="31"/>
        <v>10</v>
      </c>
      <c r="O133" s="77">
        <f>ImpliedCallVolatility(F133,G133,((D133)/365),B133,I133,C133)</f>
        <v>0.12813568115234375</v>
      </c>
      <c r="P133" s="77">
        <f>ImpliedPutVolatility(F133,H133,((D133)/365),B133,J133,C133)</f>
        <v>0.12584686279296875</v>
      </c>
      <c r="Q133" t="str">
        <f t="shared" si="33"/>
        <v>Sell</v>
      </c>
      <c r="R133">
        <f t="shared" si="34"/>
        <v>200.2</v>
      </c>
      <c r="S133">
        <f t="shared" si="35"/>
        <v>27038.2</v>
      </c>
      <c r="T133">
        <f t="shared" si="36"/>
        <v>26637.8</v>
      </c>
      <c r="U133" s="36">
        <v>0.63541666666666663</v>
      </c>
      <c r="V133">
        <v>26693</v>
      </c>
      <c r="AB133">
        <v>26838</v>
      </c>
      <c r="AC133">
        <v>26676</v>
      </c>
      <c r="AE133">
        <f t="shared" si="15"/>
        <v>-162</v>
      </c>
      <c r="AF133">
        <f t="shared" si="37"/>
        <v>2667</v>
      </c>
      <c r="AI133">
        <f t="shared" si="27"/>
        <v>20000</v>
      </c>
      <c r="AJ133">
        <f t="shared" si="28"/>
        <v>-32400</v>
      </c>
      <c r="AL133">
        <f t="shared" si="29"/>
        <v>-12400</v>
      </c>
      <c r="AM133">
        <f t="shared" si="30"/>
        <v>3891500</v>
      </c>
    </row>
    <row r="134" spans="1:40">
      <c r="A134" s="41"/>
      <c r="B134" s="63">
        <v>0.1</v>
      </c>
      <c r="C134" s="63">
        <v>0</v>
      </c>
      <c r="D134" s="64">
        <v>3</v>
      </c>
      <c r="E134" s="44">
        <v>43298</v>
      </c>
      <c r="F134" s="41">
        <v>26777</v>
      </c>
      <c r="G134" s="41">
        <v>26800</v>
      </c>
      <c r="H134" s="41">
        <f t="shared" si="32"/>
        <v>26800</v>
      </c>
      <c r="I134" s="41">
        <v>133</v>
      </c>
      <c r="J134" s="41">
        <v>101</v>
      </c>
      <c r="K134" s="46">
        <v>0.59027777777777779</v>
      </c>
      <c r="L134" s="41">
        <v>205</v>
      </c>
      <c r="M134" s="41">
        <v>51</v>
      </c>
      <c r="N134" s="43">
        <f t="shared" si="31"/>
        <v>-22</v>
      </c>
      <c r="O134" s="77">
        <f>ImpliedCallVolatility(F134,G134,((D134)/365),B134,I134,C134)</f>
        <v>0.13782501220703125</v>
      </c>
      <c r="P134" s="77">
        <f>ImpliedPutVolatility(F134,H134,((D134)/365),B134,J134,C134)</f>
        <v>0.10379791259765625</v>
      </c>
      <c r="Q134" t="str">
        <f t="shared" si="33"/>
        <v>Sell</v>
      </c>
      <c r="R134">
        <f t="shared" si="34"/>
        <v>163.79999999999998</v>
      </c>
      <c r="S134">
        <f t="shared" si="35"/>
        <v>26940.799999999999</v>
      </c>
      <c r="T134">
        <f t="shared" si="36"/>
        <v>26613.200000000001</v>
      </c>
      <c r="U134" s="36">
        <v>0.61458333333333337</v>
      </c>
      <c r="V134">
        <v>27014</v>
      </c>
      <c r="AB134">
        <v>26809</v>
      </c>
      <c r="AC134">
        <v>26777</v>
      </c>
      <c r="AE134">
        <f t="shared" si="15"/>
        <v>-32</v>
      </c>
      <c r="AF134">
        <f t="shared" si="37"/>
        <v>2635</v>
      </c>
      <c r="AI134">
        <f t="shared" si="27"/>
        <v>-44000</v>
      </c>
      <c r="AJ134">
        <f t="shared" si="28"/>
        <v>-6400</v>
      </c>
      <c r="AL134">
        <f t="shared" si="29"/>
        <v>-50400</v>
      </c>
      <c r="AM134">
        <f t="shared" si="30"/>
        <v>3841100</v>
      </c>
    </row>
    <row r="135" spans="1:40">
      <c r="A135" s="41" t="s">
        <v>57</v>
      </c>
      <c r="B135" s="63">
        <v>0.1</v>
      </c>
      <c r="C135" s="63">
        <v>0</v>
      </c>
      <c r="D135" s="64">
        <v>2</v>
      </c>
      <c r="E135" s="44">
        <v>43299</v>
      </c>
      <c r="F135" s="41">
        <v>27077</v>
      </c>
      <c r="G135" s="41">
        <v>27200</v>
      </c>
      <c r="H135" s="41">
        <f t="shared" si="32"/>
        <v>27200</v>
      </c>
      <c r="I135" s="41">
        <v>92</v>
      </c>
      <c r="J135" s="41">
        <v>107</v>
      </c>
      <c r="K135" s="46">
        <v>0.51388888888888895</v>
      </c>
      <c r="L135" s="41">
        <v>42</v>
      </c>
      <c r="M135" s="41">
        <v>189</v>
      </c>
      <c r="N135" s="43">
        <f t="shared" si="31"/>
        <v>-32</v>
      </c>
      <c r="O135" s="77">
        <f>ImpliedCallVolatility(F135,G135,((D135)/365),B135,I135,C135)</f>
        <v>0.17406463623046875</v>
      </c>
      <c r="P135" s="77">
        <f>ImpliedPutVolatility(F135,H135,((D135)/365),B135,J135,C135)</f>
        <v>3.814697265625E-5</v>
      </c>
      <c r="Q135" t="str">
        <f t="shared" si="33"/>
        <v>Sell</v>
      </c>
      <c r="R135">
        <f t="shared" si="34"/>
        <v>139.29999999999998</v>
      </c>
      <c r="S135">
        <f t="shared" si="35"/>
        <v>27216.3</v>
      </c>
      <c r="T135">
        <f t="shared" si="36"/>
        <v>26937.7</v>
      </c>
      <c r="U135" s="36">
        <v>0.52083333333333337</v>
      </c>
      <c r="V135">
        <v>26870</v>
      </c>
      <c r="AB135">
        <v>27077</v>
      </c>
      <c r="AC135">
        <v>27007</v>
      </c>
      <c r="AE135">
        <f t="shared" si="15"/>
        <v>-70</v>
      </c>
      <c r="AF135">
        <f t="shared" si="37"/>
        <v>2565</v>
      </c>
      <c r="AI135">
        <f t="shared" si="27"/>
        <v>-64000</v>
      </c>
      <c r="AJ135">
        <f t="shared" si="28"/>
        <v>-14000</v>
      </c>
      <c r="AL135">
        <f t="shared" si="29"/>
        <v>-78000</v>
      </c>
      <c r="AM135">
        <f t="shared" si="30"/>
        <v>3763100</v>
      </c>
    </row>
    <row r="136" spans="1:40" ht="13.5" thickBot="1">
      <c r="A136" s="41" t="s">
        <v>58</v>
      </c>
      <c r="B136" s="63">
        <v>0.1</v>
      </c>
      <c r="C136" s="63">
        <v>0</v>
      </c>
      <c r="D136" s="64">
        <v>1</v>
      </c>
      <c r="E136" s="48">
        <v>43300</v>
      </c>
      <c r="F136" s="41">
        <v>26899</v>
      </c>
      <c r="G136" s="41">
        <v>26900</v>
      </c>
      <c r="H136" s="41">
        <f t="shared" si="32"/>
        <v>26900</v>
      </c>
      <c r="I136" s="41">
        <v>74</v>
      </c>
      <c r="J136" s="41">
        <v>60</v>
      </c>
      <c r="K136" s="46">
        <v>0.45833333333333331</v>
      </c>
      <c r="L136" s="41">
        <v>78</v>
      </c>
      <c r="M136" s="41">
        <v>61</v>
      </c>
      <c r="N136" s="43">
        <f t="shared" si="31"/>
        <v>-5</v>
      </c>
      <c r="O136" s="77">
        <f>ImpliedCallVolatility(F136,G136,((D136)/365),B136,I136,C136)</f>
        <v>0.12599945068359375</v>
      </c>
      <c r="P136" s="77">
        <f>ImpliedPutVolatility(F136,H136,((D136)/365),B136,J136,C136)</f>
        <v>0.11241912841796875</v>
      </c>
      <c r="Q136" t="str">
        <f t="shared" si="33"/>
        <v>Sell</v>
      </c>
      <c r="R136">
        <f t="shared" si="34"/>
        <v>93.8</v>
      </c>
      <c r="S136">
        <f t="shared" si="35"/>
        <v>26992.799999999999</v>
      </c>
      <c r="T136">
        <f t="shared" si="36"/>
        <v>26805.200000000001</v>
      </c>
      <c r="U136" s="36">
        <v>0.63541666666666663</v>
      </c>
      <c r="V136">
        <v>26792</v>
      </c>
      <c r="AB136">
        <v>26753</v>
      </c>
      <c r="AC136">
        <v>26899</v>
      </c>
      <c r="AE136">
        <f t="shared" si="15"/>
        <v>146</v>
      </c>
      <c r="AF136">
        <f t="shared" si="37"/>
        <v>2711</v>
      </c>
      <c r="AI136">
        <f t="shared" si="27"/>
        <v>-10000</v>
      </c>
      <c r="AJ136">
        <f t="shared" si="28"/>
        <v>29200</v>
      </c>
      <c r="AL136">
        <f t="shared" si="29"/>
        <v>19200</v>
      </c>
      <c r="AM136">
        <f t="shared" si="30"/>
        <v>3782300</v>
      </c>
    </row>
    <row r="137" spans="1:40">
      <c r="A137" s="41"/>
      <c r="B137" s="63">
        <v>0.1</v>
      </c>
      <c r="C137" s="63">
        <v>0</v>
      </c>
      <c r="D137" s="64">
        <v>5</v>
      </c>
      <c r="E137" s="42">
        <v>43301</v>
      </c>
      <c r="F137" s="41">
        <v>26806</v>
      </c>
      <c r="G137" s="41">
        <v>26900</v>
      </c>
      <c r="H137" s="41">
        <f t="shared" si="32"/>
        <v>26900</v>
      </c>
      <c r="I137" s="41">
        <v>178</v>
      </c>
      <c r="J137" s="41">
        <v>211</v>
      </c>
      <c r="K137" s="46">
        <v>0.63541666666666663</v>
      </c>
      <c r="L137" s="41">
        <v>200</v>
      </c>
      <c r="M137" s="41">
        <v>166</v>
      </c>
      <c r="N137" s="43">
        <f t="shared" si="31"/>
        <v>23</v>
      </c>
      <c r="O137" s="77">
        <f>ImpliedCallVolatility(F137,G137,((D137)/365),B137,I137,C137)</f>
        <v>0.16384124755859375</v>
      </c>
      <c r="P137" s="77">
        <f>ImpliedPutVolatility(F137,H137,((D137)/365),B137,J137,C137)</f>
        <v>0.14446258544921875</v>
      </c>
      <c r="Q137" t="str">
        <f t="shared" si="33"/>
        <v>Sell</v>
      </c>
      <c r="R137">
        <f t="shared" si="34"/>
        <v>272.29999999999995</v>
      </c>
      <c r="S137">
        <f t="shared" si="35"/>
        <v>27078.3</v>
      </c>
      <c r="T137">
        <f t="shared" si="36"/>
        <v>26533.7</v>
      </c>
      <c r="U137" s="36">
        <v>0.63541666666666663</v>
      </c>
      <c r="V137">
        <v>26883</v>
      </c>
      <c r="AB137">
        <v>26905</v>
      </c>
      <c r="AC137">
        <v>26806</v>
      </c>
      <c r="AE137">
        <f t="shared" si="15"/>
        <v>-99</v>
      </c>
      <c r="AF137">
        <f t="shared" si="37"/>
        <v>2612</v>
      </c>
      <c r="AI137">
        <f t="shared" si="27"/>
        <v>46000</v>
      </c>
      <c r="AJ137">
        <f t="shared" si="28"/>
        <v>-19800</v>
      </c>
      <c r="AL137">
        <f t="shared" si="29"/>
        <v>26200</v>
      </c>
      <c r="AM137">
        <f t="shared" si="30"/>
        <v>3808500</v>
      </c>
    </row>
    <row r="138" spans="1:40">
      <c r="A138" s="41"/>
      <c r="B138" s="63">
        <v>0.1</v>
      </c>
      <c r="C138" s="63">
        <v>0</v>
      </c>
      <c r="D138" s="64">
        <v>4</v>
      </c>
      <c r="E138" s="44">
        <v>43304</v>
      </c>
      <c r="F138" s="41">
        <v>26905</v>
      </c>
      <c r="G138" s="41">
        <v>26900</v>
      </c>
      <c r="H138" s="41">
        <f t="shared" si="32"/>
        <v>26900</v>
      </c>
      <c r="I138" s="41">
        <v>191</v>
      </c>
      <c r="J138" s="41">
        <v>149</v>
      </c>
      <c r="K138" s="46">
        <v>0.63541666666666663</v>
      </c>
      <c r="L138" s="41">
        <v>250</v>
      </c>
      <c r="M138" s="41">
        <v>74</v>
      </c>
      <c r="N138" s="43">
        <f t="shared" si="31"/>
        <v>16</v>
      </c>
      <c r="O138" s="77">
        <f>ImpliedCallVolatility(F138,G138,((D138)/365),B138,I138,C138)</f>
        <v>0.15422821044921875</v>
      </c>
      <c r="P138" s="77">
        <f>ImpliedPutVolatility(F138,H138,((D138)/365),B138,J138,C138)</f>
        <v>0.14751434326171875</v>
      </c>
      <c r="Q138" t="str">
        <f t="shared" si="33"/>
        <v>Sell</v>
      </c>
      <c r="R138">
        <f t="shared" si="34"/>
        <v>237.99999999999997</v>
      </c>
      <c r="S138">
        <f t="shared" si="35"/>
        <v>27143</v>
      </c>
      <c r="T138">
        <f t="shared" si="36"/>
        <v>26667</v>
      </c>
      <c r="U138" s="36">
        <v>0.63541666666666663</v>
      </c>
      <c r="V138">
        <v>27022</v>
      </c>
      <c r="AB138">
        <v>26904</v>
      </c>
      <c r="AC138">
        <v>26991</v>
      </c>
      <c r="AE138">
        <f t="shared" si="15"/>
        <v>87</v>
      </c>
      <c r="AF138">
        <f t="shared" si="37"/>
        <v>2699</v>
      </c>
      <c r="AI138">
        <f t="shared" si="27"/>
        <v>32000</v>
      </c>
      <c r="AJ138">
        <f t="shared" si="28"/>
        <v>17400</v>
      </c>
      <c r="AL138">
        <f t="shared" si="29"/>
        <v>49400</v>
      </c>
      <c r="AM138">
        <f t="shared" si="30"/>
        <v>3857900</v>
      </c>
    </row>
    <row r="139" spans="1:40">
      <c r="A139" s="41"/>
      <c r="B139" s="63">
        <v>0.1</v>
      </c>
      <c r="C139" s="63">
        <v>0</v>
      </c>
      <c r="D139" s="64">
        <v>3</v>
      </c>
      <c r="E139" s="44">
        <v>43305</v>
      </c>
      <c r="F139" s="41">
        <v>27084</v>
      </c>
      <c r="G139" s="41">
        <v>27100</v>
      </c>
      <c r="H139" s="41">
        <f t="shared" si="32"/>
        <v>27100</v>
      </c>
      <c r="I139" s="41">
        <v>156</v>
      </c>
      <c r="J139" s="41">
        <v>106</v>
      </c>
      <c r="K139" s="46">
        <v>0.53125</v>
      </c>
      <c r="L139" s="41">
        <v>67</v>
      </c>
      <c r="M139" s="41">
        <v>215</v>
      </c>
      <c r="N139" s="43">
        <f t="shared" si="31"/>
        <v>-20</v>
      </c>
      <c r="O139" s="77">
        <f>ImpliedCallVolatility(F139,G139,((D139)/365),B139,I139,C139)</f>
        <v>0.15605926513671875</v>
      </c>
      <c r="P139" s="77">
        <f>ImpliedPutVolatility(F139,H139,((D139)/365),B139,J139,C139)</f>
        <v>0.11142730712890625</v>
      </c>
      <c r="Q139" t="str">
        <f t="shared" si="33"/>
        <v>Sell</v>
      </c>
      <c r="R139">
        <f t="shared" si="34"/>
        <v>183.39999999999998</v>
      </c>
      <c r="S139">
        <f t="shared" si="35"/>
        <v>27267.4</v>
      </c>
      <c r="T139">
        <f t="shared" si="36"/>
        <v>26900.6</v>
      </c>
      <c r="U139" s="36">
        <v>0.53125</v>
      </c>
      <c r="V139">
        <v>26869</v>
      </c>
      <c r="AB139">
        <v>26965</v>
      </c>
      <c r="AC139">
        <v>27084</v>
      </c>
      <c r="AE139">
        <f t="shared" si="15"/>
        <v>119</v>
      </c>
      <c r="AF139">
        <f t="shared" si="37"/>
        <v>2818</v>
      </c>
      <c r="AI139">
        <f t="shared" si="27"/>
        <v>-40000</v>
      </c>
      <c r="AJ139">
        <f t="shared" si="28"/>
        <v>23800</v>
      </c>
      <c r="AL139">
        <f t="shared" si="29"/>
        <v>-16200</v>
      </c>
      <c r="AM139">
        <f t="shared" si="30"/>
        <v>3841700</v>
      </c>
    </row>
    <row r="140" spans="1:40">
      <c r="A140" s="41" t="s">
        <v>57</v>
      </c>
      <c r="B140" s="63">
        <v>0.1</v>
      </c>
      <c r="C140" s="63">
        <v>0</v>
      </c>
      <c r="D140" s="64">
        <v>2</v>
      </c>
      <c r="E140" s="44">
        <v>43306</v>
      </c>
      <c r="F140" s="41">
        <v>27012</v>
      </c>
      <c r="G140" s="41">
        <v>27000</v>
      </c>
      <c r="H140" s="41">
        <f t="shared" si="32"/>
        <v>27000</v>
      </c>
      <c r="I140" s="41">
        <v>131</v>
      </c>
      <c r="J140" s="41">
        <v>98</v>
      </c>
      <c r="K140" s="46">
        <v>0.63541666666666663</v>
      </c>
      <c r="L140" s="41">
        <v>128</v>
      </c>
      <c r="M140" s="41">
        <v>59</v>
      </c>
      <c r="N140" s="43">
        <f t="shared" si="31"/>
        <v>42</v>
      </c>
      <c r="O140" s="77">
        <f>ImpliedCallVolatility(F140,G140,((D140)/365),B140,I140,C140)</f>
        <v>0.14690399169921875</v>
      </c>
      <c r="P140" s="77">
        <f>ImpliedPutVolatility(F140,H140,((D140)/365),B140,J140,C140)</f>
        <v>0.13904571533203125</v>
      </c>
      <c r="Q140" t="str">
        <f t="shared" si="33"/>
        <v>Sell</v>
      </c>
      <c r="R140">
        <f t="shared" si="34"/>
        <v>160.29999999999998</v>
      </c>
      <c r="S140">
        <f t="shared" si="35"/>
        <v>27172.3</v>
      </c>
      <c r="T140">
        <f t="shared" si="36"/>
        <v>26851.7</v>
      </c>
      <c r="U140" s="36">
        <v>0.63541666666666663</v>
      </c>
      <c r="V140">
        <v>27039</v>
      </c>
      <c r="AB140">
        <v>27081</v>
      </c>
      <c r="AC140">
        <v>27012</v>
      </c>
      <c r="AE140">
        <f t="shared" si="15"/>
        <v>-69</v>
      </c>
      <c r="AF140">
        <f t="shared" si="37"/>
        <v>2749</v>
      </c>
      <c r="AI140">
        <f t="shared" si="27"/>
        <v>84000</v>
      </c>
      <c r="AJ140">
        <f t="shared" si="28"/>
        <v>-13800</v>
      </c>
      <c r="AL140">
        <f t="shared" si="29"/>
        <v>70200</v>
      </c>
      <c r="AM140">
        <f t="shared" si="30"/>
        <v>3911900</v>
      </c>
    </row>
    <row r="141" spans="1:40" ht="13.5" thickBot="1">
      <c r="A141" s="41" t="s">
        <v>58</v>
      </c>
      <c r="B141" s="63">
        <v>0.1</v>
      </c>
      <c r="C141" s="63">
        <v>0</v>
      </c>
      <c r="D141" s="64">
        <v>1</v>
      </c>
      <c r="E141" s="48">
        <v>43307</v>
      </c>
      <c r="F141" s="41">
        <v>27152</v>
      </c>
      <c r="G141" s="41">
        <v>27100</v>
      </c>
      <c r="H141" s="41">
        <f t="shared" si="32"/>
        <v>27100</v>
      </c>
      <c r="I141" s="41">
        <v>98</v>
      </c>
      <c r="J141" s="41">
        <v>53</v>
      </c>
      <c r="K141" s="46">
        <v>0.41666666666666669</v>
      </c>
      <c r="L141" s="41">
        <v>134</v>
      </c>
      <c r="M141" s="41">
        <v>30</v>
      </c>
      <c r="N141" s="43">
        <f t="shared" si="31"/>
        <v>-13</v>
      </c>
      <c r="O141" s="77">
        <f>ImpliedCallVolatility(F141,G141,((D141)/365),B141,I141,C141)</f>
        <v>0.11287689208984375</v>
      </c>
      <c r="P141" s="77">
        <f>ImpliedPutVolatility(F141,H141,((D141)/365),B141,J141,C141)</f>
        <v>0.13980865478515625</v>
      </c>
      <c r="Q141" t="str">
        <f t="shared" si="33"/>
        <v>Buy</v>
      </c>
      <c r="R141">
        <f t="shared" si="34"/>
        <v>105.69999999999999</v>
      </c>
      <c r="S141">
        <f t="shared" si="35"/>
        <v>27257.7</v>
      </c>
      <c r="T141">
        <f t="shared" si="36"/>
        <v>27046.3</v>
      </c>
      <c r="U141" s="36">
        <v>0.55208333333333337</v>
      </c>
      <c r="V141">
        <v>27357</v>
      </c>
      <c r="AB141">
        <v>27152</v>
      </c>
      <c r="AC141">
        <v>27359</v>
      </c>
      <c r="AE141">
        <f t="shared" si="15"/>
        <v>207</v>
      </c>
      <c r="AF141">
        <f t="shared" si="37"/>
        <v>2956</v>
      </c>
      <c r="AI141">
        <f t="shared" si="27"/>
        <v>-26000</v>
      </c>
      <c r="AJ141">
        <f t="shared" si="28"/>
        <v>41400</v>
      </c>
      <c r="AL141">
        <f t="shared" si="29"/>
        <v>15400</v>
      </c>
      <c r="AM141">
        <f t="shared" si="30"/>
        <v>3927300</v>
      </c>
    </row>
    <row r="142" spans="1:40">
      <c r="A142" s="41"/>
      <c r="B142" s="63">
        <v>0.1</v>
      </c>
      <c r="C142" s="63">
        <v>0</v>
      </c>
      <c r="D142" s="64">
        <v>5</v>
      </c>
      <c r="E142" s="42">
        <v>43308</v>
      </c>
      <c r="F142" s="41">
        <v>27544</v>
      </c>
      <c r="G142" s="41">
        <v>27500</v>
      </c>
      <c r="H142" s="41">
        <f t="shared" si="32"/>
        <v>27500</v>
      </c>
      <c r="I142" s="41">
        <v>189</v>
      </c>
      <c r="J142" s="41">
        <v>188</v>
      </c>
      <c r="K142" s="46">
        <v>0.63541666666666663</v>
      </c>
      <c r="L142" s="41">
        <v>228</v>
      </c>
      <c r="M142" s="41">
        <v>136</v>
      </c>
      <c r="N142" s="43">
        <f t="shared" si="31"/>
        <v>13</v>
      </c>
      <c r="O142" s="77">
        <f>ImpliedCallVolatility(F142,G142,((D142)/365),B142,I142,C142)</f>
        <v>0.11257171630859375</v>
      </c>
      <c r="P142" s="77">
        <f>ImpliedPutVolatility(F142,H142,((D142)/365),B142,J142,C142)</f>
        <v>0.17635345458984375</v>
      </c>
      <c r="Q142" t="str">
        <f t="shared" si="33"/>
        <v>Buy</v>
      </c>
      <c r="R142">
        <f t="shared" si="34"/>
        <v>263.89999999999998</v>
      </c>
      <c r="S142">
        <f t="shared" si="35"/>
        <v>27807.9</v>
      </c>
      <c r="T142">
        <f t="shared" si="36"/>
        <v>27280.1</v>
      </c>
      <c r="U142" s="36">
        <v>0.63541666666666663</v>
      </c>
      <c r="V142">
        <v>27637</v>
      </c>
      <c r="AB142">
        <v>27544</v>
      </c>
      <c r="AC142">
        <v>27650</v>
      </c>
      <c r="AE142">
        <f t="shared" si="15"/>
        <v>106</v>
      </c>
      <c r="AF142">
        <f t="shared" si="37"/>
        <v>3062</v>
      </c>
      <c r="AI142">
        <f t="shared" si="27"/>
        <v>26000</v>
      </c>
      <c r="AJ142">
        <f t="shared" si="28"/>
        <v>21200</v>
      </c>
      <c r="AL142">
        <f t="shared" si="29"/>
        <v>47200</v>
      </c>
      <c r="AM142">
        <f t="shared" si="30"/>
        <v>3974500</v>
      </c>
    </row>
    <row r="143" spans="1:40">
      <c r="A143" s="41"/>
      <c r="B143" s="63">
        <v>0.1</v>
      </c>
      <c r="C143" s="63">
        <v>0</v>
      </c>
      <c r="D143" s="64">
        <v>4</v>
      </c>
      <c r="E143" s="44">
        <v>43311</v>
      </c>
      <c r="F143" s="41">
        <v>27686</v>
      </c>
      <c r="G143" s="41">
        <v>27700</v>
      </c>
      <c r="H143" s="41">
        <f t="shared" si="32"/>
        <v>27700</v>
      </c>
      <c r="I143" s="41">
        <v>125</v>
      </c>
      <c r="J143" s="41">
        <v>214</v>
      </c>
      <c r="K143" s="46">
        <v>0.63541666666666663</v>
      </c>
      <c r="L143" s="41">
        <v>205</v>
      </c>
      <c r="M143" s="41">
        <v>88</v>
      </c>
      <c r="N143" s="43">
        <f t="shared" si="31"/>
        <v>46</v>
      </c>
      <c r="O143" s="77">
        <f>ImpliedCallVolatility(F143,G143,((D143)/365),B143,I143,C143)</f>
        <v>0.10089874267578125</v>
      </c>
      <c r="P143" s="77">
        <f>ImpliedPutVolatility(F143,H143,((D143)/365),B143,J143,C143)</f>
        <v>0.19214630126953125</v>
      </c>
      <c r="Q143" t="str">
        <f t="shared" si="33"/>
        <v>Buy</v>
      </c>
      <c r="R143">
        <f t="shared" si="34"/>
        <v>237.29999999999998</v>
      </c>
      <c r="S143">
        <f t="shared" si="35"/>
        <v>27923.3</v>
      </c>
      <c r="T143">
        <f t="shared" si="36"/>
        <v>27448.7</v>
      </c>
      <c r="U143" s="36">
        <v>0.63541666666666663</v>
      </c>
      <c r="V143">
        <v>27862</v>
      </c>
      <c r="AB143">
        <v>27686</v>
      </c>
      <c r="AC143">
        <v>27850</v>
      </c>
      <c r="AE143">
        <f t="shared" si="15"/>
        <v>164</v>
      </c>
      <c r="AF143">
        <f t="shared" si="37"/>
        <v>3226</v>
      </c>
      <c r="AI143">
        <f t="shared" si="27"/>
        <v>92000</v>
      </c>
      <c r="AJ143">
        <f t="shared" si="28"/>
        <v>32800</v>
      </c>
      <c r="AL143">
        <f t="shared" si="29"/>
        <v>124800</v>
      </c>
      <c r="AM143">
        <f t="shared" si="30"/>
        <v>4099300</v>
      </c>
    </row>
    <row r="144" spans="1:40">
      <c r="A144" s="41"/>
      <c r="B144" s="63">
        <v>0.1</v>
      </c>
      <c r="C144" s="63">
        <v>0</v>
      </c>
      <c r="D144" s="64">
        <v>3</v>
      </c>
      <c r="E144" s="44">
        <v>43312</v>
      </c>
      <c r="F144" s="41">
        <v>27796</v>
      </c>
      <c r="G144" s="41">
        <v>27800</v>
      </c>
      <c r="H144" s="41">
        <f t="shared" si="32"/>
        <v>27800</v>
      </c>
      <c r="I144" s="41">
        <v>133</v>
      </c>
      <c r="J144" s="41">
        <v>140</v>
      </c>
      <c r="K144" s="46">
        <v>0.63541666666666663</v>
      </c>
      <c r="L144" s="41">
        <v>114</v>
      </c>
      <c r="M144" s="41">
        <v>133</v>
      </c>
      <c r="N144" s="43">
        <f t="shared" si="31"/>
        <v>26</v>
      </c>
      <c r="O144" s="77">
        <f>ImpliedCallVolatility(F144,G144,((D144)/365),B144,I144,C144)</f>
        <v>0.12271881103515625</v>
      </c>
      <c r="P144" s="77">
        <f>ImpliedPutVolatility(F144,H144,((D144)/365),B144,J144,C144)</f>
        <v>0.14850616455078125</v>
      </c>
      <c r="Q144" t="str">
        <f t="shared" si="33"/>
        <v>Buy</v>
      </c>
      <c r="R144">
        <f t="shared" si="34"/>
        <v>191.1</v>
      </c>
      <c r="S144">
        <f t="shared" si="35"/>
        <v>27987.1</v>
      </c>
      <c r="T144">
        <f t="shared" si="36"/>
        <v>27604.9</v>
      </c>
      <c r="U144" s="36">
        <v>0.63541666666666663</v>
      </c>
      <c r="V144">
        <v>27554</v>
      </c>
      <c r="X144" t="s">
        <v>73</v>
      </c>
      <c r="Y144" s="72">
        <f>SUM(N123:N144)</f>
        <v>240</v>
      </c>
      <c r="AB144">
        <v>27796</v>
      </c>
      <c r="AC144">
        <v>27716</v>
      </c>
      <c r="AE144">
        <f t="shared" si="15"/>
        <v>-80</v>
      </c>
      <c r="AF144">
        <f t="shared" si="37"/>
        <v>3146</v>
      </c>
      <c r="AG144">
        <f>SUM(AE123:AE144)</f>
        <v>-98</v>
      </c>
      <c r="AI144">
        <f t="shared" si="27"/>
        <v>52000</v>
      </c>
      <c r="AJ144">
        <f t="shared" si="28"/>
        <v>-16000</v>
      </c>
      <c r="AL144">
        <f t="shared" si="29"/>
        <v>36000</v>
      </c>
      <c r="AM144">
        <f t="shared" si="30"/>
        <v>4135300</v>
      </c>
      <c r="AN144">
        <f>AM144-AM122</f>
        <v>460400</v>
      </c>
    </row>
    <row r="145" spans="1:39">
      <c r="A145" s="41" t="s">
        <v>57</v>
      </c>
      <c r="B145" s="63">
        <v>0.1</v>
      </c>
      <c r="C145" s="63">
        <v>0</v>
      </c>
      <c r="D145" s="64">
        <v>2</v>
      </c>
      <c r="E145" s="44">
        <v>43313</v>
      </c>
      <c r="F145" s="41">
        <v>27801</v>
      </c>
      <c r="G145" s="41">
        <v>27800</v>
      </c>
      <c r="H145" s="41">
        <f t="shared" si="32"/>
        <v>27800</v>
      </c>
      <c r="I145" s="41">
        <v>123</v>
      </c>
      <c r="J145" s="41">
        <v>116</v>
      </c>
      <c r="K145" s="46">
        <v>0.61458333333333337</v>
      </c>
      <c r="L145" s="41">
        <v>27</v>
      </c>
      <c r="M145" s="41">
        <v>208</v>
      </c>
      <c r="N145" s="43">
        <f t="shared" si="31"/>
        <v>4</v>
      </c>
      <c r="O145" s="77">
        <f>ImpliedCallVolatility(F145,G145,((D145)/365),B145,I145,C145)</f>
        <v>0.13973236083984375</v>
      </c>
      <c r="P145" s="77">
        <f>ImpliedPutVolatility(F145,H145,((D145)/365),B145,J145,C145)</f>
        <v>0.15102386474609375</v>
      </c>
      <c r="Q145" t="str">
        <f t="shared" si="33"/>
        <v>Buy</v>
      </c>
      <c r="R145">
        <f t="shared" si="34"/>
        <v>167.29999999999998</v>
      </c>
      <c r="S145">
        <f t="shared" si="35"/>
        <v>27968.3</v>
      </c>
      <c r="T145">
        <f t="shared" si="36"/>
        <v>27633.7</v>
      </c>
      <c r="U145" s="36">
        <v>0.5625</v>
      </c>
      <c r="V145">
        <v>27628</v>
      </c>
      <c r="AB145">
        <v>27801</v>
      </c>
      <c r="AC145">
        <v>27644</v>
      </c>
      <c r="AE145">
        <f t="shared" si="15"/>
        <v>-157</v>
      </c>
      <c r="AF145">
        <f t="shared" si="37"/>
        <v>2989</v>
      </c>
      <c r="AI145">
        <f t="shared" si="27"/>
        <v>8000</v>
      </c>
      <c r="AJ145">
        <f t="shared" si="28"/>
        <v>-31400</v>
      </c>
      <c r="AL145">
        <f t="shared" si="29"/>
        <v>-23400</v>
      </c>
      <c r="AM145">
        <f t="shared" si="30"/>
        <v>4111900</v>
      </c>
    </row>
    <row r="146" spans="1:39" ht="13.5" thickBot="1">
      <c r="A146" s="41" t="s">
        <v>58</v>
      </c>
      <c r="B146" s="63">
        <v>0.1</v>
      </c>
      <c r="C146" s="63">
        <v>0</v>
      </c>
      <c r="D146" s="64">
        <v>1</v>
      </c>
      <c r="E146" s="48">
        <v>43314</v>
      </c>
      <c r="F146" s="41">
        <v>27461</v>
      </c>
      <c r="G146" s="41">
        <v>27500</v>
      </c>
      <c r="H146" s="41">
        <f t="shared" si="32"/>
        <v>27500</v>
      </c>
      <c r="I146" s="41">
        <v>49</v>
      </c>
      <c r="J146" s="41">
        <v>84</v>
      </c>
      <c r="K146" s="46">
        <v>0.63541666666666663</v>
      </c>
      <c r="L146" s="41">
        <v>0.15</v>
      </c>
      <c r="M146" s="41">
        <v>128</v>
      </c>
      <c r="N146" s="43">
        <f t="shared" si="31"/>
        <v>4.8499999999999943</v>
      </c>
      <c r="O146" s="77">
        <f>ImpliedCallVolatility(F146,G146,((D146)/365),B146,I146,C146)</f>
        <v>0.11066436767578125</v>
      </c>
      <c r="P146" s="77">
        <f>ImpliedPutVolatility(F146,H146,((D146)/365),B146,J146,C146)</f>
        <v>0.11692047119140625</v>
      </c>
      <c r="Q146" t="str">
        <f t="shared" si="33"/>
        <v>Buy</v>
      </c>
      <c r="R146">
        <f t="shared" si="34"/>
        <v>93.1</v>
      </c>
      <c r="S146">
        <f t="shared" si="35"/>
        <v>27554.1</v>
      </c>
      <c r="T146">
        <f t="shared" si="36"/>
        <v>27367.9</v>
      </c>
      <c r="U146" s="36">
        <v>0.63541666666666663</v>
      </c>
      <c r="V146">
        <v>27365</v>
      </c>
      <c r="AB146">
        <v>27461</v>
      </c>
      <c r="AC146">
        <v>27368</v>
      </c>
      <c r="AE146">
        <f t="shared" si="15"/>
        <v>-93</v>
      </c>
      <c r="AF146">
        <f t="shared" si="37"/>
        <v>2896</v>
      </c>
      <c r="AI146">
        <f t="shared" si="27"/>
        <v>9699.9999999999891</v>
      </c>
      <c r="AJ146">
        <f t="shared" si="28"/>
        <v>-18600</v>
      </c>
      <c r="AL146">
        <f t="shared" si="29"/>
        <v>-8900.0000000000109</v>
      </c>
      <c r="AM146">
        <f t="shared" si="30"/>
        <v>4103000</v>
      </c>
    </row>
    <row r="147" spans="1:39">
      <c r="A147" s="41"/>
      <c r="B147" s="63">
        <v>0.1</v>
      </c>
      <c r="C147" s="63">
        <v>0</v>
      </c>
      <c r="D147" s="64">
        <v>5</v>
      </c>
      <c r="E147" s="42">
        <v>43315</v>
      </c>
      <c r="F147" s="41">
        <v>27496</v>
      </c>
      <c r="G147" s="41">
        <v>27500</v>
      </c>
      <c r="H147" s="41">
        <v>27500</v>
      </c>
      <c r="I147" s="41">
        <v>185</v>
      </c>
      <c r="J147" s="41">
        <v>144</v>
      </c>
      <c r="K147" s="46">
        <v>0.63541666666666663</v>
      </c>
      <c r="L147" s="41">
        <v>296</v>
      </c>
      <c r="M147" s="41">
        <v>63</v>
      </c>
      <c r="N147" s="43">
        <f t="shared" si="31"/>
        <v>-30</v>
      </c>
      <c r="O147" s="77">
        <f>ImpliedCallVolatility(F147,G147,((D147)/365),B147,I147,C147)</f>
        <v>0.13065338134765625</v>
      </c>
      <c r="P147" s="77">
        <f>ImpliedPutVolatility(F147,H147,((D147)/365),B147,J147,C147)</f>
        <v>0.12493133544921875</v>
      </c>
      <c r="Q147" t="str">
        <f t="shared" si="33"/>
        <v>Sell</v>
      </c>
      <c r="R147">
        <f t="shared" si="34"/>
        <v>230.29999999999998</v>
      </c>
      <c r="S147">
        <f t="shared" si="35"/>
        <v>27726.3</v>
      </c>
      <c r="T147">
        <f t="shared" si="36"/>
        <v>27265.7</v>
      </c>
      <c r="U147" s="36">
        <v>0.61458333333333337</v>
      </c>
      <c r="V147">
        <v>27707</v>
      </c>
      <c r="AB147">
        <v>27696</v>
      </c>
      <c r="AC147">
        <v>27496</v>
      </c>
      <c r="AE147">
        <f t="shared" si="15"/>
        <v>-200</v>
      </c>
      <c r="AF147">
        <f t="shared" si="37"/>
        <v>2696</v>
      </c>
      <c r="AI147">
        <f t="shared" si="27"/>
        <v>-60000</v>
      </c>
      <c r="AJ147">
        <f t="shared" si="28"/>
        <v>-40000</v>
      </c>
      <c r="AL147">
        <f t="shared" si="29"/>
        <v>-100000</v>
      </c>
      <c r="AM147">
        <f t="shared" si="30"/>
        <v>4003000</v>
      </c>
    </row>
    <row r="148" spans="1:39">
      <c r="A148" s="41"/>
      <c r="B148" s="63">
        <v>0.1</v>
      </c>
      <c r="C148" s="63">
        <v>0</v>
      </c>
      <c r="D148" s="64">
        <v>4</v>
      </c>
      <c r="E148" s="44">
        <v>43318</v>
      </c>
      <c r="F148" s="41">
        <v>27901</v>
      </c>
      <c r="G148" s="41">
        <v>28000</v>
      </c>
      <c r="H148" s="41">
        <v>28000</v>
      </c>
      <c r="I148" s="41">
        <v>102</v>
      </c>
      <c r="J148" s="41">
        <v>161</v>
      </c>
      <c r="K148" s="46">
        <v>0.63541666666666663</v>
      </c>
      <c r="L148" s="41">
        <v>96</v>
      </c>
      <c r="M148" s="41">
        <v>165</v>
      </c>
      <c r="N148" s="43">
        <f t="shared" si="31"/>
        <v>2</v>
      </c>
      <c r="O148" s="77">
        <f>ImpliedCallVolatility(F148,G148,((D148)/365),B148,I148,C148)</f>
        <v>0.11432647705078125</v>
      </c>
      <c r="P148" s="77">
        <f>ImpliedPutVolatility(F148,H148,((D148)/365),B148,J148,C148)</f>
        <v>0.10616302490234375</v>
      </c>
      <c r="Q148" t="str">
        <f t="shared" si="33"/>
        <v>Sell</v>
      </c>
      <c r="R148">
        <f t="shared" si="34"/>
        <v>184.1</v>
      </c>
      <c r="S148">
        <f t="shared" si="35"/>
        <v>28085.1</v>
      </c>
      <c r="T148">
        <f t="shared" si="36"/>
        <v>27716.9</v>
      </c>
      <c r="U148" s="36">
        <v>0.63541666666666663</v>
      </c>
      <c r="V148">
        <v>27906</v>
      </c>
      <c r="AB148">
        <v>27901</v>
      </c>
      <c r="AC148">
        <v>27891</v>
      </c>
      <c r="AE148">
        <f t="shared" si="15"/>
        <v>-10</v>
      </c>
      <c r="AF148">
        <f t="shared" si="37"/>
        <v>2686</v>
      </c>
      <c r="AI148">
        <f t="shared" si="27"/>
        <v>4000</v>
      </c>
      <c r="AJ148">
        <f t="shared" si="28"/>
        <v>-2000</v>
      </c>
      <c r="AL148">
        <f t="shared" si="29"/>
        <v>2000</v>
      </c>
      <c r="AM148">
        <f t="shared" si="30"/>
        <v>4005000</v>
      </c>
    </row>
    <row r="149" spans="1:39">
      <c r="A149" s="41"/>
      <c r="B149" s="63">
        <v>0.1</v>
      </c>
      <c r="C149" s="63">
        <v>0</v>
      </c>
      <c r="D149" s="64">
        <v>3</v>
      </c>
      <c r="E149" s="44">
        <v>43319</v>
      </c>
      <c r="F149" s="41">
        <v>27845</v>
      </c>
      <c r="G149" s="41">
        <v>27900</v>
      </c>
      <c r="H149" s="41">
        <v>27900</v>
      </c>
      <c r="I149" s="41">
        <v>111</v>
      </c>
      <c r="J149" s="41">
        <v>148</v>
      </c>
      <c r="K149" s="46">
        <v>0.63541666666666663</v>
      </c>
      <c r="L149" s="41">
        <v>121</v>
      </c>
      <c r="M149" s="41">
        <v>112</v>
      </c>
      <c r="N149" s="43">
        <f t="shared" si="31"/>
        <v>26</v>
      </c>
      <c r="O149" s="77">
        <f>ImpliedCallVolatility(F149,G149,((D149)/365),B149,I149,C149)</f>
        <v>0.12546539306640625</v>
      </c>
      <c r="P149" s="77">
        <f>ImpliedPutVolatility(F149,H149,((D149)/365),B149,J149,C149)</f>
        <v>0.13034820556640625</v>
      </c>
      <c r="Q149" t="str">
        <f t="shared" si="33"/>
        <v>Buy</v>
      </c>
      <c r="R149">
        <f t="shared" si="34"/>
        <v>181.29999999999998</v>
      </c>
      <c r="S149">
        <f t="shared" si="35"/>
        <v>28026.3</v>
      </c>
      <c r="T149">
        <f t="shared" si="36"/>
        <v>27663.7</v>
      </c>
      <c r="U149" s="36">
        <v>0.63541666666666663</v>
      </c>
      <c r="V149">
        <v>27874</v>
      </c>
      <c r="AB149">
        <v>27845</v>
      </c>
      <c r="AC149">
        <v>27901</v>
      </c>
      <c r="AE149">
        <f t="shared" si="15"/>
        <v>56</v>
      </c>
      <c r="AF149">
        <f t="shared" si="37"/>
        <v>2742</v>
      </c>
      <c r="AI149">
        <f t="shared" si="27"/>
        <v>52000</v>
      </c>
      <c r="AJ149">
        <f t="shared" si="28"/>
        <v>11200</v>
      </c>
      <c r="AL149">
        <f t="shared" si="29"/>
        <v>63200</v>
      </c>
      <c r="AM149">
        <f t="shared" si="30"/>
        <v>4068200</v>
      </c>
    </row>
    <row r="150" spans="1:39">
      <c r="A150" s="41" t="s">
        <v>57</v>
      </c>
      <c r="B150" s="63">
        <v>0.1</v>
      </c>
      <c r="C150" s="63">
        <v>0</v>
      </c>
      <c r="D150" s="64">
        <v>2</v>
      </c>
      <c r="E150" s="44">
        <v>43320</v>
      </c>
      <c r="F150" s="41">
        <v>27889</v>
      </c>
      <c r="G150" s="41">
        <v>27900</v>
      </c>
      <c r="H150" s="41">
        <v>27900</v>
      </c>
      <c r="I150" s="41">
        <v>111</v>
      </c>
      <c r="J150" s="41">
        <v>148</v>
      </c>
      <c r="K150" s="46">
        <v>0.45833333333333331</v>
      </c>
      <c r="L150" s="41">
        <v>109</v>
      </c>
      <c r="M150" s="41">
        <v>131</v>
      </c>
      <c r="N150" s="43">
        <f t="shared" si="31"/>
        <v>19</v>
      </c>
      <c r="O150" s="77">
        <f>ImpliedCallVolatility(F150,G150,((D150)/365),B150,I150,C150)</f>
        <v>0.13217926025390625</v>
      </c>
      <c r="P150" s="77">
        <f>ImpliedPutVolatility(F150,H150,((D150)/365),B150,J150,C150)</f>
        <v>0.18230438232421875</v>
      </c>
      <c r="Q150" t="str">
        <f t="shared" si="33"/>
        <v>Buy</v>
      </c>
      <c r="R150">
        <f t="shared" si="34"/>
        <v>181.29999999999998</v>
      </c>
      <c r="S150">
        <f t="shared" si="35"/>
        <v>28070.3</v>
      </c>
      <c r="T150">
        <f t="shared" si="36"/>
        <v>27707.7</v>
      </c>
      <c r="U150" s="36">
        <v>0.47916666666666669</v>
      </c>
      <c r="V150">
        <v>28109</v>
      </c>
      <c r="AB150">
        <v>27889</v>
      </c>
      <c r="AC150">
        <v>27985</v>
      </c>
      <c r="AE150">
        <f t="shared" si="15"/>
        <v>96</v>
      </c>
      <c r="AF150">
        <f t="shared" si="37"/>
        <v>2838</v>
      </c>
      <c r="AI150">
        <f t="shared" si="27"/>
        <v>38000</v>
      </c>
      <c r="AJ150">
        <f t="shared" si="28"/>
        <v>19200</v>
      </c>
      <c r="AL150">
        <f t="shared" si="29"/>
        <v>57200</v>
      </c>
      <c r="AM150">
        <f t="shared" si="30"/>
        <v>4125400</v>
      </c>
    </row>
    <row r="151" spans="1:39" ht="13.5" thickBot="1">
      <c r="A151" s="41" t="s">
        <v>58</v>
      </c>
      <c r="B151" s="63">
        <v>0.1</v>
      </c>
      <c r="C151" s="63">
        <v>0</v>
      </c>
      <c r="D151" s="64">
        <v>1</v>
      </c>
      <c r="E151" s="48">
        <v>43321</v>
      </c>
      <c r="F151" s="41">
        <v>28192</v>
      </c>
      <c r="G151" s="41">
        <v>28200</v>
      </c>
      <c r="H151" s="41">
        <v>28200</v>
      </c>
      <c r="I151" s="41">
        <v>49</v>
      </c>
      <c r="J151" s="41">
        <v>64</v>
      </c>
      <c r="K151" s="46">
        <v>0.42708333333333331</v>
      </c>
      <c r="L151" s="41">
        <v>57</v>
      </c>
      <c r="M151" s="41">
        <v>42</v>
      </c>
      <c r="N151" s="43">
        <f t="shared" si="31"/>
        <v>14</v>
      </c>
      <c r="O151" s="77">
        <f>ImpliedCallVolatility(F151,G151,((D151)/365),B151,I151,C151)</f>
        <v>8.350372314453125E-2</v>
      </c>
      <c r="P151" s="77">
        <f>ImpliedPutVolatility(F151,H151,((D151)/365),B151,J151,C151)</f>
        <v>0.10845184326171875</v>
      </c>
      <c r="Q151" t="str">
        <f t="shared" si="33"/>
        <v>Buy</v>
      </c>
      <c r="R151">
        <f t="shared" si="34"/>
        <v>79.099999999999994</v>
      </c>
      <c r="S151">
        <f t="shared" si="35"/>
        <v>28271.1</v>
      </c>
      <c r="T151">
        <f t="shared" si="36"/>
        <v>28112.9</v>
      </c>
      <c r="U151" s="36">
        <v>0.63541666666666663</v>
      </c>
      <c r="V151">
        <v>28318</v>
      </c>
      <c r="AB151">
        <v>28192</v>
      </c>
      <c r="AC151">
        <v>28289</v>
      </c>
      <c r="AE151">
        <f t="shared" si="15"/>
        <v>97</v>
      </c>
      <c r="AF151">
        <f t="shared" si="37"/>
        <v>2935</v>
      </c>
      <c r="AI151">
        <f t="shared" si="27"/>
        <v>28000</v>
      </c>
      <c r="AJ151">
        <f t="shared" si="28"/>
        <v>19400</v>
      </c>
      <c r="AL151">
        <f t="shared" si="29"/>
        <v>47400</v>
      </c>
      <c r="AM151">
        <f t="shared" si="30"/>
        <v>4172800</v>
      </c>
    </row>
    <row r="152" spans="1:39">
      <c r="A152" s="41"/>
      <c r="B152" s="63">
        <v>0.1</v>
      </c>
      <c r="C152" s="63">
        <v>0</v>
      </c>
      <c r="D152" s="64">
        <v>4</v>
      </c>
      <c r="E152" s="42">
        <v>43322</v>
      </c>
      <c r="F152" s="41">
        <v>28237</v>
      </c>
      <c r="G152" s="41">
        <v>28200</v>
      </c>
      <c r="H152" s="41">
        <f>G152</f>
        <v>28200</v>
      </c>
      <c r="I152" s="41">
        <v>181</v>
      </c>
      <c r="J152" s="41">
        <v>135</v>
      </c>
      <c r="K152" s="46">
        <v>0.63541666666666663</v>
      </c>
      <c r="L152" s="41">
        <v>127</v>
      </c>
      <c r="M152" s="41">
        <v>166</v>
      </c>
      <c r="N152" s="43">
        <f t="shared" si="31"/>
        <v>23</v>
      </c>
      <c r="O152" s="77">
        <f>ImpliedCallVolatility(F152,G152,((D152)/365),B152,I152,C152)</f>
        <v>0.12271881103515625</v>
      </c>
      <c r="P152" s="77">
        <f>ImpliedPutVolatility(F152,H152,((D152)/365),B152,J152,C152)</f>
        <v>0.14156341552734375</v>
      </c>
      <c r="Q152" t="str">
        <f t="shared" si="33"/>
        <v>Buy</v>
      </c>
      <c r="R152">
        <f t="shared" si="34"/>
        <v>221.2</v>
      </c>
      <c r="S152">
        <f t="shared" si="35"/>
        <v>28458.2</v>
      </c>
      <c r="T152">
        <f t="shared" si="36"/>
        <v>28015.8</v>
      </c>
      <c r="U152" s="36">
        <v>0.63541666666666663</v>
      </c>
      <c r="V152">
        <v>28130</v>
      </c>
      <c r="AB152">
        <v>28236</v>
      </c>
      <c r="AC152">
        <v>28183</v>
      </c>
      <c r="AE152">
        <f t="shared" si="15"/>
        <v>-53</v>
      </c>
      <c r="AF152">
        <f t="shared" si="37"/>
        <v>2882</v>
      </c>
      <c r="AI152">
        <f t="shared" si="27"/>
        <v>46000</v>
      </c>
      <c r="AJ152">
        <f t="shared" si="28"/>
        <v>-10600</v>
      </c>
      <c r="AL152">
        <f t="shared" si="29"/>
        <v>35400</v>
      </c>
      <c r="AM152">
        <f t="shared" si="30"/>
        <v>4208200</v>
      </c>
    </row>
    <row r="153" spans="1:39">
      <c r="A153" s="41"/>
      <c r="B153" s="63">
        <v>0.1</v>
      </c>
      <c r="C153" s="63">
        <v>0</v>
      </c>
      <c r="D153" s="64">
        <v>3</v>
      </c>
      <c r="E153" s="44">
        <v>43325</v>
      </c>
      <c r="F153" s="41">
        <v>27839</v>
      </c>
      <c r="G153" s="41">
        <v>27900</v>
      </c>
      <c r="H153" s="41">
        <f>G153</f>
        <v>27900</v>
      </c>
      <c r="I153" s="41">
        <v>134</v>
      </c>
      <c r="J153" s="41">
        <v>158</v>
      </c>
      <c r="K153" s="46">
        <v>0.63541666666666663</v>
      </c>
      <c r="L153" s="41">
        <v>111</v>
      </c>
      <c r="M153" s="41">
        <v>157</v>
      </c>
      <c r="N153" s="43">
        <f t="shared" si="31"/>
        <v>24</v>
      </c>
      <c r="O153" s="77">
        <f>ImpliedCallVolatility(F153,G153,((D153)/365),B153,I153,C153)</f>
        <v>0.15117645263671875</v>
      </c>
      <c r="P153" s="77">
        <f>ImpliedPutVolatility(F153,H153,((D153)/365),B153,J153,C153)</f>
        <v>0.13706207275390625</v>
      </c>
      <c r="Q153" t="str">
        <f t="shared" si="33"/>
        <v>Sell</v>
      </c>
      <c r="R153">
        <f t="shared" si="34"/>
        <v>204.39999999999998</v>
      </c>
      <c r="S153">
        <f t="shared" si="35"/>
        <v>28043.4</v>
      </c>
      <c r="T153">
        <f t="shared" si="36"/>
        <v>27634.6</v>
      </c>
      <c r="U153" s="36">
        <v>0.63541666666666663</v>
      </c>
      <c r="V153">
        <v>27816</v>
      </c>
      <c r="AB153">
        <v>27765</v>
      </c>
      <c r="AC153">
        <v>27839</v>
      </c>
      <c r="AE153">
        <f t="shared" si="15"/>
        <v>74</v>
      </c>
      <c r="AF153">
        <f t="shared" si="37"/>
        <v>2956</v>
      </c>
      <c r="AI153">
        <f t="shared" si="27"/>
        <v>48000</v>
      </c>
      <c r="AJ153">
        <f t="shared" si="28"/>
        <v>14800</v>
      </c>
      <c r="AL153">
        <f t="shared" si="29"/>
        <v>62800</v>
      </c>
      <c r="AM153">
        <f t="shared" si="30"/>
        <v>4271000</v>
      </c>
    </row>
    <row r="154" spans="1:39">
      <c r="A154" s="41" t="s">
        <v>57</v>
      </c>
      <c r="B154" s="63">
        <v>0.1</v>
      </c>
      <c r="C154" s="63">
        <v>0</v>
      </c>
      <c r="D154" s="64">
        <v>2</v>
      </c>
      <c r="E154" s="44">
        <v>43326</v>
      </c>
      <c r="F154" s="41">
        <v>27947</v>
      </c>
      <c r="G154" s="41">
        <v>28000</v>
      </c>
      <c r="H154" s="41">
        <f>G154</f>
        <v>28000</v>
      </c>
      <c r="I154" s="41">
        <v>99</v>
      </c>
      <c r="J154" s="41">
        <v>118</v>
      </c>
      <c r="K154" s="46">
        <v>0.63541666666666663</v>
      </c>
      <c r="L154" s="41">
        <v>124</v>
      </c>
      <c r="M154" s="41">
        <v>68</v>
      </c>
      <c r="N154" s="43">
        <f t="shared" si="31"/>
        <v>25</v>
      </c>
      <c r="O154" s="77">
        <f>ImpliedCallVolatility(F154,G154,((D154)/365),B154,I154,C154)</f>
        <v>0.14148712158203125</v>
      </c>
      <c r="P154" s="77">
        <f>ImpliedPutVolatility(F154,H154,((D154)/365),B154,J154,C154)</f>
        <v>0.11867523193359375</v>
      </c>
      <c r="Q154" t="str">
        <f t="shared" si="33"/>
        <v>Sell</v>
      </c>
      <c r="R154">
        <f t="shared" si="34"/>
        <v>151.89999999999998</v>
      </c>
      <c r="S154">
        <f t="shared" si="35"/>
        <v>28098.9</v>
      </c>
      <c r="T154">
        <f t="shared" si="36"/>
        <v>27795.1</v>
      </c>
      <c r="U154" s="36">
        <v>0.63541666666666663</v>
      </c>
      <c r="V154">
        <v>28026</v>
      </c>
      <c r="AB154">
        <v>27994</v>
      </c>
      <c r="AC154">
        <v>27947</v>
      </c>
      <c r="AE154">
        <f t="shared" si="15"/>
        <v>-47</v>
      </c>
      <c r="AF154">
        <f t="shared" si="37"/>
        <v>2909</v>
      </c>
      <c r="AI154">
        <f t="shared" si="27"/>
        <v>50000</v>
      </c>
      <c r="AJ154">
        <f t="shared" si="28"/>
        <v>-9400</v>
      </c>
      <c r="AL154">
        <f t="shared" si="29"/>
        <v>40600</v>
      </c>
      <c r="AM154">
        <f t="shared" si="30"/>
        <v>4311600</v>
      </c>
    </row>
    <row r="155" spans="1:39" ht="13.5" thickBot="1">
      <c r="A155" s="41" t="s">
        <v>58</v>
      </c>
      <c r="B155" s="63">
        <v>0.1</v>
      </c>
      <c r="C155" s="63">
        <v>0</v>
      </c>
      <c r="D155" s="64">
        <v>1</v>
      </c>
      <c r="E155" s="48">
        <v>43328</v>
      </c>
      <c r="F155" s="41">
        <v>27829</v>
      </c>
      <c r="G155" s="41">
        <v>27800</v>
      </c>
      <c r="H155" s="41">
        <v>27800</v>
      </c>
      <c r="I155" s="41">
        <v>96</v>
      </c>
      <c r="J155" s="41">
        <v>35</v>
      </c>
      <c r="K155" s="46">
        <v>0.40625</v>
      </c>
      <c r="L155" s="41">
        <v>106</v>
      </c>
      <c r="M155" s="41">
        <v>27</v>
      </c>
      <c r="N155" s="43">
        <f t="shared" si="31"/>
        <v>-2</v>
      </c>
      <c r="O155" s="77">
        <f>ImpliedCallVolatility(F155,G155,((D155)/365),B155,I155,C155)</f>
        <v>0.13141632080078125</v>
      </c>
      <c r="P155" s="77">
        <f>ImpliedPutVolatility(F155,H155,((D155)/365),B155,J155,C155)</f>
        <v>8.823394775390625E-2</v>
      </c>
      <c r="Q155" t="str">
        <f t="shared" si="33"/>
        <v>Sell</v>
      </c>
      <c r="R155">
        <f t="shared" si="34"/>
        <v>91.699999999999989</v>
      </c>
      <c r="S155">
        <f t="shared" si="35"/>
        <v>27920.7</v>
      </c>
      <c r="T155">
        <f t="shared" si="36"/>
        <v>27737.3</v>
      </c>
      <c r="U155" s="36">
        <v>0.63541666666666663</v>
      </c>
      <c r="V155">
        <v>27819</v>
      </c>
      <c r="AB155">
        <v>27815</v>
      </c>
      <c r="AC155">
        <v>27829</v>
      </c>
      <c r="AE155">
        <f t="shared" si="15"/>
        <v>14</v>
      </c>
      <c r="AF155">
        <f t="shared" si="37"/>
        <v>2923</v>
      </c>
      <c r="AI155">
        <f t="shared" si="27"/>
        <v>-4000</v>
      </c>
      <c r="AJ155">
        <f t="shared" si="28"/>
        <v>2800</v>
      </c>
      <c r="AL155">
        <f t="shared" si="29"/>
        <v>-1200</v>
      </c>
      <c r="AM155">
        <f t="shared" si="30"/>
        <v>4310400</v>
      </c>
    </row>
    <row r="156" spans="1:39">
      <c r="A156" s="41"/>
      <c r="B156" s="63">
        <v>0.1</v>
      </c>
      <c r="C156" s="63">
        <v>0</v>
      </c>
      <c r="D156" s="64">
        <v>4</v>
      </c>
      <c r="E156" s="42">
        <v>43329</v>
      </c>
      <c r="F156" s="41">
        <v>27990</v>
      </c>
      <c r="G156" s="41">
        <v>28000</v>
      </c>
      <c r="H156" s="41">
        <v>28000</v>
      </c>
      <c r="I156" s="41">
        <v>181</v>
      </c>
      <c r="J156" s="41">
        <v>141</v>
      </c>
      <c r="K156" s="46"/>
      <c r="L156" s="41">
        <v>247</v>
      </c>
      <c r="M156" s="41">
        <v>92</v>
      </c>
      <c r="N156" s="43">
        <f t="shared" si="31"/>
        <v>-17</v>
      </c>
      <c r="O156" s="77">
        <f>ImpliedCallVolatility(F156,G156,((D156)/365),B156,I156,C156)</f>
        <v>0.14591217041015625</v>
      </c>
      <c r="P156" s="77">
        <f>ImpliedPutVolatility(F156,H156,((D156)/365),B156,J156,C156)</f>
        <v>0.12928009033203125</v>
      </c>
      <c r="Q156" t="str">
        <f t="shared" si="33"/>
        <v>Sell</v>
      </c>
      <c r="R156">
        <f t="shared" si="34"/>
        <v>225.39999999999998</v>
      </c>
      <c r="S156">
        <f t="shared" si="35"/>
        <v>28215.4</v>
      </c>
      <c r="T156">
        <f t="shared" si="36"/>
        <v>27764.6</v>
      </c>
      <c r="U156" s="36">
        <v>0.63541666666666663</v>
      </c>
      <c r="V156">
        <v>28129</v>
      </c>
      <c r="AB156">
        <v>28132</v>
      </c>
      <c r="AC156">
        <v>27990</v>
      </c>
      <c r="AE156">
        <f t="shared" si="15"/>
        <v>-142</v>
      </c>
      <c r="AF156">
        <f t="shared" si="37"/>
        <v>2781</v>
      </c>
      <c r="AI156">
        <f t="shared" si="27"/>
        <v>-34000</v>
      </c>
      <c r="AJ156">
        <f t="shared" si="28"/>
        <v>-28400</v>
      </c>
      <c r="AL156">
        <f t="shared" si="29"/>
        <v>-62400</v>
      </c>
      <c r="AM156">
        <f t="shared" si="30"/>
        <v>4248000</v>
      </c>
    </row>
    <row r="157" spans="1:39">
      <c r="A157" s="41"/>
      <c r="B157" s="63">
        <v>0.1</v>
      </c>
      <c r="C157" s="63">
        <v>0</v>
      </c>
      <c r="D157" s="64">
        <v>3</v>
      </c>
      <c r="E157" s="44">
        <v>43332</v>
      </c>
      <c r="F157" s="41">
        <v>28275</v>
      </c>
      <c r="G157" s="41">
        <v>28300</v>
      </c>
      <c r="H157" s="41">
        <v>28300</v>
      </c>
      <c r="I157" s="41">
        <v>146</v>
      </c>
      <c r="J157" s="41">
        <v>112</v>
      </c>
      <c r="K157" s="46"/>
      <c r="L157" s="41">
        <v>138</v>
      </c>
      <c r="M157" s="41">
        <v>115</v>
      </c>
      <c r="N157" s="43">
        <f t="shared" si="31"/>
        <v>5</v>
      </c>
      <c r="O157" s="77">
        <f>ImpliedCallVolatility(F157,G157,((D157)/365),B157,I157,C157)</f>
        <v>0.14362335205078125</v>
      </c>
      <c r="P157" s="77">
        <f>ImpliedPutVolatility(F157,H157,((D157)/365),B157,J157,C157)</f>
        <v>0.10868072509765625</v>
      </c>
      <c r="Q157" t="str">
        <f t="shared" si="33"/>
        <v>Sell</v>
      </c>
      <c r="R157">
        <f t="shared" si="34"/>
        <v>180.6</v>
      </c>
      <c r="S157">
        <f t="shared" si="35"/>
        <v>28455.599999999999</v>
      </c>
      <c r="T157">
        <f t="shared" si="36"/>
        <v>28094.400000000001</v>
      </c>
      <c r="U157" s="36">
        <v>0.63541666666666663</v>
      </c>
      <c r="V157">
        <v>28266</v>
      </c>
      <c r="AB157">
        <v>28276</v>
      </c>
      <c r="AC157">
        <v>28274</v>
      </c>
      <c r="AE157">
        <f t="shared" si="15"/>
        <v>-2</v>
      </c>
      <c r="AF157">
        <f t="shared" si="37"/>
        <v>2779</v>
      </c>
      <c r="AI157">
        <f t="shared" si="27"/>
        <v>10000</v>
      </c>
      <c r="AJ157">
        <f t="shared" si="28"/>
        <v>-400</v>
      </c>
      <c r="AL157">
        <f t="shared" si="29"/>
        <v>9600</v>
      </c>
      <c r="AM157">
        <f t="shared" si="30"/>
        <v>4257600</v>
      </c>
    </row>
    <row r="158" spans="1:39">
      <c r="A158" s="41" t="s">
        <v>57</v>
      </c>
      <c r="B158" s="63">
        <v>0.1</v>
      </c>
      <c r="C158" s="63">
        <v>0</v>
      </c>
      <c r="D158" s="64">
        <v>2</v>
      </c>
      <c r="E158" s="44">
        <v>43333</v>
      </c>
      <c r="F158" s="41">
        <v>28225</v>
      </c>
      <c r="G158" s="41">
        <v>28300</v>
      </c>
      <c r="H158" s="41">
        <v>28300</v>
      </c>
      <c r="I158" s="41">
        <v>90</v>
      </c>
      <c r="J158" s="41">
        <v>135</v>
      </c>
      <c r="K158" s="46">
        <v>0.63541666666666663</v>
      </c>
      <c r="L158" s="41">
        <v>77</v>
      </c>
      <c r="M158" s="41">
        <v>112</v>
      </c>
      <c r="N158" s="43">
        <f t="shared" si="31"/>
        <v>36</v>
      </c>
      <c r="O158" s="77">
        <f>ImpliedCallVolatility(F158,G158,((D158)/365),B158,I158,C158)</f>
        <v>0.14064788818359375</v>
      </c>
      <c r="P158" s="77">
        <f>ImpliedPutVolatility(F158,H158,((D158)/365),B158,J158,C158)</f>
        <v>0.12287139892578125</v>
      </c>
      <c r="Q158" t="str">
        <f t="shared" si="33"/>
        <v>Sell</v>
      </c>
      <c r="R158">
        <f t="shared" si="34"/>
        <v>157.5</v>
      </c>
      <c r="S158">
        <f t="shared" si="35"/>
        <v>28382.5</v>
      </c>
      <c r="T158">
        <f t="shared" si="36"/>
        <v>28067.5</v>
      </c>
      <c r="U158" s="36">
        <v>0.63541666666666663</v>
      </c>
      <c r="V158">
        <v>28256</v>
      </c>
      <c r="AB158">
        <v>28270</v>
      </c>
      <c r="AC158">
        <v>28225</v>
      </c>
      <c r="AE158">
        <f t="shared" si="15"/>
        <v>-45</v>
      </c>
      <c r="AF158">
        <f t="shared" si="37"/>
        <v>2734</v>
      </c>
      <c r="AI158">
        <f t="shared" si="27"/>
        <v>72000</v>
      </c>
      <c r="AJ158">
        <f t="shared" si="28"/>
        <v>-9000</v>
      </c>
      <c r="AL158">
        <f t="shared" si="29"/>
        <v>63000</v>
      </c>
      <c r="AM158">
        <f t="shared" si="30"/>
        <v>4320600</v>
      </c>
    </row>
    <row r="159" spans="1:39" ht="13.5" thickBot="1">
      <c r="A159" s="41" t="s">
        <v>58</v>
      </c>
      <c r="B159" s="63">
        <v>0.1</v>
      </c>
      <c r="C159" s="63">
        <v>0</v>
      </c>
      <c r="D159" s="64">
        <v>1</v>
      </c>
      <c r="E159" s="48">
        <v>43335</v>
      </c>
      <c r="F159" s="41">
        <v>28180</v>
      </c>
      <c r="G159" s="41">
        <v>28200</v>
      </c>
      <c r="H159" s="41">
        <v>28200</v>
      </c>
      <c r="I159" s="41">
        <v>49</v>
      </c>
      <c r="J159" s="41">
        <v>54</v>
      </c>
      <c r="K159" s="46">
        <v>0.42708333333333331</v>
      </c>
      <c r="L159" s="41">
        <v>18</v>
      </c>
      <c r="M159" s="41">
        <v>91</v>
      </c>
      <c r="N159" s="43">
        <f>(I159+J159)-(L159+M159)</f>
        <v>-6</v>
      </c>
      <c r="O159" s="77">
        <f>ImpliedCallVolatility(F159,G159,((D159)/365),B159,I159,C159)</f>
        <v>9.334564208984375E-2</v>
      </c>
      <c r="P159" s="77">
        <f>ImpliedPutVolatility(F159,H159,((D159)/365),B159,J159,C159)</f>
        <v>8.090972900390625E-2</v>
      </c>
      <c r="Q159" t="str">
        <f t="shared" si="33"/>
        <v>Sell</v>
      </c>
      <c r="R159">
        <f t="shared" si="34"/>
        <v>72.099999999999994</v>
      </c>
      <c r="S159">
        <f t="shared" si="35"/>
        <v>28252.1</v>
      </c>
      <c r="T159">
        <f t="shared" si="36"/>
        <v>28107.9</v>
      </c>
      <c r="U159" s="36">
        <v>0.58333333333333337</v>
      </c>
      <c r="V159">
        <v>27966</v>
      </c>
      <c r="AB159">
        <v>28011</v>
      </c>
      <c r="AC159">
        <v>28180</v>
      </c>
      <c r="AE159">
        <f t="shared" si="15"/>
        <v>169</v>
      </c>
      <c r="AF159">
        <f t="shared" si="37"/>
        <v>2903</v>
      </c>
      <c r="AI159">
        <f t="shared" si="27"/>
        <v>-12000</v>
      </c>
      <c r="AJ159">
        <f t="shared" si="28"/>
        <v>33800</v>
      </c>
      <c r="AL159">
        <f t="shared" si="29"/>
        <v>21800</v>
      </c>
      <c r="AM159">
        <f t="shared" si="30"/>
        <v>4342400</v>
      </c>
    </row>
    <row r="160" spans="1:39">
      <c r="A160" s="41"/>
      <c r="B160" s="63">
        <v>0.1</v>
      </c>
      <c r="C160" s="63">
        <v>0</v>
      </c>
      <c r="D160" s="64">
        <v>4</v>
      </c>
      <c r="E160" s="42">
        <v>43339</v>
      </c>
      <c r="F160" s="41">
        <v>28059</v>
      </c>
      <c r="G160" s="41">
        <v>28200</v>
      </c>
      <c r="H160" s="41">
        <v>28200</v>
      </c>
      <c r="I160" s="41">
        <v>143</v>
      </c>
      <c r="J160" s="41">
        <v>115</v>
      </c>
      <c r="K160" s="46">
        <v>0.63541666666666663</v>
      </c>
      <c r="L160" s="41">
        <v>150</v>
      </c>
      <c r="M160" s="41">
        <v>101</v>
      </c>
      <c r="N160" s="43">
        <f t="shared" si="31"/>
        <v>7</v>
      </c>
      <c r="O160" s="77">
        <f>ImpliedCallVolatility(F160,G160,((D160)/365),B160,I160,C160)</f>
        <v>0.16445159912109375</v>
      </c>
      <c r="P160" s="77">
        <f>ImpliedPutVolatility(F160,H160,((D160)/365),B160,J160,C160)</f>
        <v>3.070831298828125E-2</v>
      </c>
      <c r="Q160" t="str">
        <f t="shared" si="33"/>
        <v>Sell</v>
      </c>
      <c r="R160">
        <f t="shared" si="34"/>
        <v>180.6</v>
      </c>
      <c r="S160">
        <f t="shared" si="35"/>
        <v>28239.599999999999</v>
      </c>
      <c r="T160">
        <f t="shared" si="36"/>
        <v>27878.400000000001</v>
      </c>
      <c r="U160" s="36">
        <v>0.51041666666666663</v>
      </c>
      <c r="V160">
        <v>27839</v>
      </c>
      <c r="AB160">
        <v>28095</v>
      </c>
      <c r="AC160">
        <v>28059</v>
      </c>
      <c r="AE160">
        <f t="shared" si="15"/>
        <v>-36</v>
      </c>
      <c r="AF160">
        <f t="shared" si="37"/>
        <v>2867</v>
      </c>
      <c r="AI160">
        <f t="shared" si="27"/>
        <v>14000</v>
      </c>
      <c r="AJ160">
        <f t="shared" si="28"/>
        <v>-7200</v>
      </c>
      <c r="AL160">
        <f t="shared" si="29"/>
        <v>6800</v>
      </c>
      <c r="AM160">
        <f t="shared" si="30"/>
        <v>4349200</v>
      </c>
    </row>
    <row r="161" spans="1:40">
      <c r="A161" s="41"/>
      <c r="B161" s="63">
        <v>0.1</v>
      </c>
      <c r="C161" s="63">
        <v>0</v>
      </c>
      <c r="D161" s="64">
        <v>3</v>
      </c>
      <c r="E161" s="44">
        <v>43340</v>
      </c>
      <c r="F161" s="41">
        <v>28148</v>
      </c>
      <c r="G161" s="41">
        <v>28300</v>
      </c>
      <c r="H161" s="41">
        <v>28300</v>
      </c>
      <c r="I161" s="41">
        <v>116</v>
      </c>
      <c r="J161" s="41">
        <v>124</v>
      </c>
      <c r="K161" s="46">
        <v>0.63541666666666663</v>
      </c>
      <c r="L161" s="41">
        <v>129</v>
      </c>
      <c r="M161" s="41">
        <v>100</v>
      </c>
      <c r="N161" s="43">
        <f t="shared" si="31"/>
        <v>11</v>
      </c>
      <c r="O161" s="77">
        <f>ImpliedCallVolatility(F161,G161,((D161)/365),B161,I161,C161)</f>
        <v>0.16933441162109375</v>
      </c>
      <c r="P161" s="77">
        <f>ImpliedPutVolatility(F161,H161,((D161)/365),B161,J161,C161)</f>
        <v>3.814697265625E-5</v>
      </c>
      <c r="Q161" t="str">
        <f t="shared" si="33"/>
        <v>Sell</v>
      </c>
      <c r="R161">
        <f t="shared" si="34"/>
        <v>168</v>
      </c>
      <c r="S161">
        <f t="shared" si="35"/>
        <v>28316</v>
      </c>
      <c r="T161">
        <f t="shared" si="36"/>
        <v>27980</v>
      </c>
      <c r="U161" s="36">
        <v>0.63541666666666663</v>
      </c>
      <c r="V161">
        <v>28253</v>
      </c>
      <c r="AB161">
        <v>28265</v>
      </c>
      <c r="AC161">
        <v>28148</v>
      </c>
      <c r="AE161">
        <f t="shared" si="15"/>
        <v>-117</v>
      </c>
      <c r="AF161">
        <f t="shared" si="37"/>
        <v>2750</v>
      </c>
      <c r="AI161">
        <f t="shared" si="27"/>
        <v>22000</v>
      </c>
      <c r="AJ161">
        <f t="shared" si="28"/>
        <v>-23400</v>
      </c>
      <c r="AL161">
        <f t="shared" si="29"/>
        <v>-1400</v>
      </c>
      <c r="AM161">
        <f t="shared" si="30"/>
        <v>4347800</v>
      </c>
    </row>
    <row r="162" spans="1:40">
      <c r="A162" s="41" t="s">
        <v>57</v>
      </c>
      <c r="B162" s="63">
        <v>0.1</v>
      </c>
      <c r="C162" s="63">
        <v>0</v>
      </c>
      <c r="D162" s="64">
        <v>2</v>
      </c>
      <c r="E162" s="44">
        <v>43341</v>
      </c>
      <c r="F162" s="41">
        <v>28276</v>
      </c>
      <c r="G162" s="41">
        <v>28300</v>
      </c>
      <c r="H162" s="41">
        <v>28300</v>
      </c>
      <c r="I162" s="41">
        <v>130</v>
      </c>
      <c r="J162" s="41">
        <v>96</v>
      </c>
      <c r="K162" s="46">
        <v>0.63541666666666663</v>
      </c>
      <c r="L162" s="41">
        <v>66</v>
      </c>
      <c r="M162" s="41">
        <v>122</v>
      </c>
      <c r="N162" s="43">
        <f t="shared" si="31"/>
        <v>38</v>
      </c>
      <c r="O162" s="77">
        <f>ImpliedCallVolatility(F162,G162,((D162)/365),B162,I162,C162)</f>
        <v>0.16071319580078125</v>
      </c>
      <c r="P162" s="77">
        <f>ImpliedPutVolatility(F162,H162,((D162)/365),B162,J162,C162)</f>
        <v>0.10982513427734375</v>
      </c>
      <c r="Q162" t="str">
        <f t="shared" si="33"/>
        <v>Sell</v>
      </c>
      <c r="R162">
        <f t="shared" si="34"/>
        <v>158.19999999999999</v>
      </c>
      <c r="S162">
        <f t="shared" si="35"/>
        <v>28434.2</v>
      </c>
      <c r="T162">
        <f t="shared" si="36"/>
        <v>28117.8</v>
      </c>
      <c r="U162" s="36">
        <v>0.63541666666666663</v>
      </c>
      <c r="V162">
        <v>28281</v>
      </c>
      <c r="AB162">
        <v>28236</v>
      </c>
      <c r="AC162">
        <v>28276</v>
      </c>
      <c r="AE162">
        <f t="shared" si="15"/>
        <v>40</v>
      </c>
      <c r="AF162">
        <f t="shared" si="37"/>
        <v>2790</v>
      </c>
      <c r="AI162">
        <f t="shared" si="27"/>
        <v>76000</v>
      </c>
      <c r="AJ162">
        <f t="shared" si="28"/>
        <v>8000</v>
      </c>
      <c r="AL162">
        <f t="shared" si="29"/>
        <v>84000</v>
      </c>
      <c r="AM162">
        <f t="shared" si="30"/>
        <v>4431800</v>
      </c>
    </row>
    <row r="163" spans="1:40" ht="13.5" thickBot="1">
      <c r="A163" s="41" t="s">
        <v>58</v>
      </c>
      <c r="B163" s="63">
        <v>0.1</v>
      </c>
      <c r="C163" s="63">
        <v>0</v>
      </c>
      <c r="D163" s="64">
        <v>1</v>
      </c>
      <c r="E163" s="48">
        <v>43342</v>
      </c>
      <c r="F163" s="41">
        <v>28087</v>
      </c>
      <c r="G163" s="41">
        <v>28100</v>
      </c>
      <c r="H163" s="41">
        <v>28100</v>
      </c>
      <c r="I163" s="41">
        <v>56</v>
      </c>
      <c r="J163" s="41">
        <v>75</v>
      </c>
      <c r="K163" s="46">
        <v>0.42499999999999999</v>
      </c>
      <c r="L163" s="41">
        <v>33</v>
      </c>
      <c r="M163" s="41">
        <v>97</v>
      </c>
      <c r="N163" s="43">
        <f t="shared" si="31"/>
        <v>1</v>
      </c>
      <c r="O163" s="77">
        <f>ImpliedCallVolatility(F163,G163,((D163)/365),B163,I163,C163)</f>
        <v>9.990692138671875E-2</v>
      </c>
      <c r="P163" s="77">
        <f>ImpliedPutVolatility(F163,H163,((D163)/365),B163,J163,C163)</f>
        <v>0.12332916259765625</v>
      </c>
      <c r="Q163" t="str">
        <f t="shared" si="33"/>
        <v>Buy</v>
      </c>
      <c r="R163">
        <f t="shared" si="34"/>
        <v>91.699999999999989</v>
      </c>
      <c r="S163">
        <f t="shared" si="35"/>
        <v>28178.7</v>
      </c>
      <c r="T163">
        <f t="shared" si="36"/>
        <v>27995.3</v>
      </c>
      <c r="U163" s="36">
        <v>0.63541666666666663</v>
      </c>
      <c r="V163">
        <v>28111</v>
      </c>
      <c r="AB163">
        <v>28296</v>
      </c>
      <c r="AC163">
        <v>28319</v>
      </c>
      <c r="AE163">
        <f t="shared" si="15"/>
        <v>23</v>
      </c>
      <c r="AF163">
        <f t="shared" si="37"/>
        <v>2813</v>
      </c>
      <c r="AI163">
        <f t="shared" si="27"/>
        <v>2000</v>
      </c>
      <c r="AJ163">
        <f t="shared" si="28"/>
        <v>4600</v>
      </c>
      <c r="AL163">
        <f t="shared" si="29"/>
        <v>6600</v>
      </c>
      <c r="AM163">
        <f t="shared" si="30"/>
        <v>4438400</v>
      </c>
    </row>
    <row r="164" spans="1:40">
      <c r="A164" s="41"/>
      <c r="B164" s="63">
        <v>0.1</v>
      </c>
      <c r="C164" s="63">
        <v>0</v>
      </c>
      <c r="D164" s="64">
        <v>5</v>
      </c>
      <c r="E164" s="42">
        <v>43343</v>
      </c>
      <c r="F164" s="41">
        <v>28063</v>
      </c>
      <c r="G164" s="41">
        <v>28200</v>
      </c>
      <c r="H164" s="41">
        <v>28200</v>
      </c>
      <c r="I164" s="41">
        <v>150</v>
      </c>
      <c r="J164" s="41">
        <v>188</v>
      </c>
      <c r="K164" s="46">
        <v>0.63541666666666663</v>
      </c>
      <c r="L164" s="41">
        <v>140</v>
      </c>
      <c r="M164" s="41">
        <v>176</v>
      </c>
      <c r="N164" s="43">
        <f t="shared" si="31"/>
        <v>22</v>
      </c>
      <c r="O164" s="77">
        <f>ImpliedCallVolatility(F164,G164,((D164)/365),B164,I164,C164)</f>
        <v>0.14873504638671875</v>
      </c>
      <c r="P164" s="77">
        <f>ImpliedPutVolatility(F164,H164,((D164)/365),B164,J164,C164)</f>
        <v>0.10135650634765625</v>
      </c>
      <c r="Q164" t="str">
        <f t="shared" si="33"/>
        <v>Sell</v>
      </c>
      <c r="R164">
        <f t="shared" si="34"/>
        <v>236.6</v>
      </c>
      <c r="S164">
        <f t="shared" si="35"/>
        <v>28299.599999999999</v>
      </c>
      <c r="T164">
        <f t="shared" si="36"/>
        <v>27826.400000000001</v>
      </c>
      <c r="U164" s="36">
        <v>0.63541666666666663</v>
      </c>
      <c r="V164">
        <v>28078</v>
      </c>
      <c r="X164" t="s">
        <v>72</v>
      </c>
      <c r="Y164" s="72">
        <f>SUM(N145:N164)</f>
        <v>206.85</v>
      </c>
      <c r="AB164">
        <v>28023</v>
      </c>
      <c r="AC164">
        <v>28086</v>
      </c>
      <c r="AE164">
        <f t="shared" si="15"/>
        <v>63</v>
      </c>
      <c r="AF164">
        <f t="shared" si="37"/>
        <v>2876</v>
      </c>
      <c r="AG164">
        <f>SUM(AE145:AE164)</f>
        <v>-270</v>
      </c>
      <c r="AI164">
        <f t="shared" si="27"/>
        <v>44000</v>
      </c>
      <c r="AJ164">
        <f t="shared" si="28"/>
        <v>12600</v>
      </c>
      <c r="AL164">
        <f t="shared" si="29"/>
        <v>56600</v>
      </c>
      <c r="AM164">
        <f t="shared" si="30"/>
        <v>4495000</v>
      </c>
      <c r="AN164">
        <f>AM164-AM144</f>
        <v>359700</v>
      </c>
    </row>
    <row r="165" spans="1:40">
      <c r="A165" s="41"/>
      <c r="B165" s="63">
        <v>0.1</v>
      </c>
      <c r="C165" s="63">
        <v>0</v>
      </c>
      <c r="D165" s="64">
        <v>4</v>
      </c>
      <c r="E165" s="44">
        <v>43346</v>
      </c>
      <c r="F165" s="41">
        <v>28032</v>
      </c>
      <c r="G165" s="41">
        <v>28200</v>
      </c>
      <c r="H165" s="41">
        <v>28200</v>
      </c>
      <c r="I165" s="41">
        <v>111</v>
      </c>
      <c r="J165" s="41">
        <v>204</v>
      </c>
      <c r="K165" s="46">
        <v>0.63541666666666663</v>
      </c>
      <c r="L165" s="41">
        <v>53</v>
      </c>
      <c r="M165" s="41">
        <v>285</v>
      </c>
      <c r="N165" s="43">
        <f t="shared" si="31"/>
        <v>-23</v>
      </c>
      <c r="O165" s="77">
        <f>ImpliedCallVolatility(F165,G165,((D165)/365),B165,I165,C165)</f>
        <v>0.14560699462890625</v>
      </c>
      <c r="P165" s="77">
        <f>ImpliedPutVolatility(F165,H165,((D165)/365),B165,J165,C165)</f>
        <v>0.10524749755859375</v>
      </c>
      <c r="Q165" t="str">
        <f t="shared" si="33"/>
        <v>Sell</v>
      </c>
      <c r="R165">
        <f t="shared" si="34"/>
        <v>220.5</v>
      </c>
      <c r="S165">
        <f t="shared" si="35"/>
        <v>28252.5</v>
      </c>
      <c r="T165">
        <f t="shared" si="36"/>
        <v>27811.5</v>
      </c>
      <c r="U165" s="36">
        <v>0.63541666666666663</v>
      </c>
      <c r="V165">
        <v>27811</v>
      </c>
      <c r="AB165">
        <v>27879</v>
      </c>
      <c r="AC165">
        <v>28032</v>
      </c>
      <c r="AE165">
        <f t="shared" si="15"/>
        <v>153</v>
      </c>
      <c r="AF165">
        <f t="shared" si="37"/>
        <v>3029</v>
      </c>
      <c r="AI165">
        <f t="shared" si="27"/>
        <v>-46000</v>
      </c>
      <c r="AJ165">
        <f t="shared" si="28"/>
        <v>30600</v>
      </c>
      <c r="AL165">
        <f t="shared" si="29"/>
        <v>-15400</v>
      </c>
      <c r="AM165">
        <f t="shared" si="30"/>
        <v>4479600</v>
      </c>
    </row>
    <row r="166" spans="1:40">
      <c r="A166" s="41"/>
      <c r="B166" s="63">
        <v>0.1</v>
      </c>
      <c r="C166" s="63">
        <v>0</v>
      </c>
      <c r="D166" s="64">
        <v>3</v>
      </c>
      <c r="E166" s="44">
        <v>43347</v>
      </c>
      <c r="F166" s="41">
        <v>27701</v>
      </c>
      <c r="G166" s="41">
        <v>27900</v>
      </c>
      <c r="H166" s="41">
        <v>27900</v>
      </c>
      <c r="I166" s="41">
        <v>80</v>
      </c>
      <c r="J166" s="41">
        <v>174</v>
      </c>
      <c r="K166" s="46">
        <v>0.55972222222222223</v>
      </c>
      <c r="L166" s="41">
        <v>32</v>
      </c>
      <c r="M166" s="41">
        <v>265</v>
      </c>
      <c r="N166" s="43">
        <f t="shared" si="31"/>
        <v>-43</v>
      </c>
      <c r="O166" s="77">
        <f>ImpliedCallVolatility(F166,G166,((D166)/365),B166,I166,C166)</f>
        <v>0.15132904052734375</v>
      </c>
      <c r="P166" s="77">
        <f>ImpliedPutVolatility(F166,H166,((D166)/365),B166,J166,C166)</f>
        <v>3.814697265625E-5</v>
      </c>
      <c r="Q166" t="str">
        <f t="shared" si="33"/>
        <v>Sell</v>
      </c>
      <c r="R166">
        <f t="shared" si="34"/>
        <v>177.79999999999998</v>
      </c>
      <c r="S166">
        <f t="shared" si="35"/>
        <v>27878.799999999999</v>
      </c>
      <c r="T166">
        <f t="shared" si="36"/>
        <v>27523.200000000001</v>
      </c>
      <c r="U166" s="36">
        <v>0.58333333333333337</v>
      </c>
      <c r="V166">
        <v>27495</v>
      </c>
      <c r="AB166">
        <v>27420</v>
      </c>
      <c r="AC166">
        <v>27700</v>
      </c>
      <c r="AE166">
        <f t="shared" si="15"/>
        <v>280</v>
      </c>
      <c r="AF166">
        <f t="shared" si="37"/>
        <v>3309</v>
      </c>
      <c r="AI166">
        <f t="shared" si="27"/>
        <v>-86000</v>
      </c>
      <c r="AJ166">
        <f t="shared" si="28"/>
        <v>56000</v>
      </c>
      <c r="AL166">
        <f t="shared" si="29"/>
        <v>-30000</v>
      </c>
      <c r="AM166">
        <f t="shared" si="30"/>
        <v>4449600</v>
      </c>
    </row>
    <row r="167" spans="1:40">
      <c r="A167" s="41" t="s">
        <v>57</v>
      </c>
      <c r="B167" s="63">
        <v>0.1</v>
      </c>
      <c r="C167" s="63">
        <v>0</v>
      </c>
      <c r="D167" s="64">
        <v>2</v>
      </c>
      <c r="E167" s="44">
        <v>43348</v>
      </c>
      <c r="F167" s="41">
        <v>27469</v>
      </c>
      <c r="G167" s="41">
        <v>27500</v>
      </c>
      <c r="H167" s="41">
        <v>27500</v>
      </c>
      <c r="I167" s="41">
        <v>111</v>
      </c>
      <c r="J167" s="41">
        <v>117</v>
      </c>
      <c r="K167" s="46">
        <v>0.42708333333333331</v>
      </c>
      <c r="L167" s="41">
        <v>165</v>
      </c>
      <c r="M167" s="41">
        <v>75</v>
      </c>
      <c r="N167" s="43">
        <f t="shared" si="31"/>
        <v>-12</v>
      </c>
      <c r="O167" s="77">
        <f>ImpliedCallVolatility(F167,G167,((D167)/365),B167,I167,C167)</f>
        <v>0.14636993408203125</v>
      </c>
      <c r="P167" s="77">
        <f>ImpliedPutVolatility(F167,H167,((D167)/365),B167,J167,C167)</f>
        <v>0.13416290283203125</v>
      </c>
      <c r="Q167" t="str">
        <f t="shared" si="33"/>
        <v>Sell</v>
      </c>
      <c r="R167">
        <f t="shared" si="34"/>
        <v>159.6</v>
      </c>
      <c r="S167">
        <f t="shared" si="35"/>
        <v>27628.6</v>
      </c>
      <c r="T167">
        <f t="shared" si="36"/>
        <v>27309.4</v>
      </c>
      <c r="U167" s="36">
        <v>0.5</v>
      </c>
      <c r="V167">
        <v>27251</v>
      </c>
      <c r="AB167">
        <v>27338</v>
      </c>
      <c r="AC167">
        <v>27469</v>
      </c>
      <c r="AE167">
        <f t="shared" si="15"/>
        <v>131</v>
      </c>
      <c r="AF167">
        <f t="shared" si="37"/>
        <v>3440</v>
      </c>
      <c r="AI167">
        <f t="shared" si="27"/>
        <v>-24000</v>
      </c>
      <c r="AJ167">
        <f t="shared" si="28"/>
        <v>26200</v>
      </c>
      <c r="AL167">
        <f t="shared" si="29"/>
        <v>2200</v>
      </c>
      <c r="AM167">
        <f t="shared" si="30"/>
        <v>4451800</v>
      </c>
    </row>
    <row r="168" spans="1:40" ht="13.5" thickBot="1">
      <c r="A168" s="41" t="s">
        <v>58</v>
      </c>
      <c r="B168" s="63">
        <v>0.1</v>
      </c>
      <c r="C168" s="63">
        <v>0</v>
      </c>
      <c r="D168" s="64">
        <v>1</v>
      </c>
      <c r="E168" s="48">
        <v>43349</v>
      </c>
      <c r="F168" s="41">
        <v>27335</v>
      </c>
      <c r="G168" s="41">
        <v>27300</v>
      </c>
      <c r="H168" s="41">
        <v>27300</v>
      </c>
      <c r="I168" s="41">
        <v>89</v>
      </c>
      <c r="J168" s="41">
        <v>37</v>
      </c>
      <c r="K168" s="46">
        <v>0.39583333333333331</v>
      </c>
      <c r="L168" s="41">
        <v>134</v>
      </c>
      <c r="M168" s="41">
        <v>20</v>
      </c>
      <c r="N168" s="43">
        <f t="shared" si="31"/>
        <v>-28</v>
      </c>
      <c r="O168" s="77">
        <f>ImpliedCallVolatility(F168,G168,((D168)/365),B168,I168,C168)</f>
        <v>0.11501312255859375</v>
      </c>
      <c r="P168" s="77">
        <f>ImpliedPutVolatility(F168,H168,((D168)/365),B168,J168,C168)</f>
        <v>9.761810302734375E-2</v>
      </c>
      <c r="Q168" t="str">
        <f t="shared" si="33"/>
        <v>Sell</v>
      </c>
      <c r="R168">
        <f t="shared" si="34"/>
        <v>88.199999999999989</v>
      </c>
      <c r="S168">
        <f t="shared" si="35"/>
        <v>27423.200000000001</v>
      </c>
      <c r="T168">
        <f t="shared" si="36"/>
        <v>27246.799999999999</v>
      </c>
      <c r="U168" s="36">
        <v>0.625</v>
      </c>
      <c r="V168">
        <v>27544</v>
      </c>
      <c r="AB168">
        <v>27506</v>
      </c>
      <c r="AC168">
        <v>27335</v>
      </c>
      <c r="AE168">
        <f t="shared" si="15"/>
        <v>-171</v>
      </c>
      <c r="AF168">
        <f t="shared" si="37"/>
        <v>3269</v>
      </c>
      <c r="AI168">
        <f t="shared" si="27"/>
        <v>-56000</v>
      </c>
      <c r="AJ168">
        <f t="shared" si="28"/>
        <v>-34200</v>
      </c>
      <c r="AL168">
        <f t="shared" si="29"/>
        <v>-90200</v>
      </c>
      <c r="AM168">
        <f t="shared" si="30"/>
        <v>4361600</v>
      </c>
    </row>
    <row r="169" spans="1:40">
      <c r="A169" s="41"/>
      <c r="B169" s="63">
        <v>0.1</v>
      </c>
      <c r="C169" s="63">
        <v>0</v>
      </c>
      <c r="D169" s="64">
        <v>4</v>
      </c>
      <c r="E169" s="42">
        <v>43350</v>
      </c>
      <c r="F169" s="41">
        <v>27256</v>
      </c>
      <c r="G169" s="41">
        <v>27400</v>
      </c>
      <c r="H169" s="41">
        <v>27200</v>
      </c>
      <c r="I169" s="41">
        <v>142</v>
      </c>
      <c r="J169" s="41">
        <v>131</v>
      </c>
      <c r="K169" s="46">
        <v>0.61805555555555558</v>
      </c>
      <c r="L169" s="41">
        <v>223</v>
      </c>
      <c r="M169" s="41">
        <v>55</v>
      </c>
      <c r="N169" s="43">
        <f t="shared" si="31"/>
        <v>-5</v>
      </c>
      <c r="O169" s="77">
        <f>ImpliedCallVolatility(F169,G169,((D169)/365),B169,I169,C169)</f>
        <v>0.16979217529296875</v>
      </c>
      <c r="P169" s="77">
        <f>ImpliedPutVolatility(F169,H169,((D169)/365),B169,J169,C169)</f>
        <v>0.15003204345703125</v>
      </c>
      <c r="Q169" t="str">
        <f t="shared" si="33"/>
        <v>Sell</v>
      </c>
      <c r="R169">
        <f t="shared" si="34"/>
        <v>191.1</v>
      </c>
      <c r="S169">
        <f t="shared" si="35"/>
        <v>27447.1</v>
      </c>
      <c r="T169">
        <f t="shared" si="36"/>
        <v>27064.9</v>
      </c>
      <c r="U169" s="36">
        <v>0.625</v>
      </c>
      <c r="V169">
        <v>27503</v>
      </c>
      <c r="AB169">
        <v>27456</v>
      </c>
      <c r="AC169">
        <v>27256</v>
      </c>
      <c r="AE169">
        <f t="shared" si="15"/>
        <v>-200</v>
      </c>
      <c r="AF169">
        <f t="shared" si="37"/>
        <v>3069</v>
      </c>
      <c r="AI169">
        <f t="shared" si="27"/>
        <v>-10000</v>
      </c>
      <c r="AJ169">
        <f t="shared" si="28"/>
        <v>-40000</v>
      </c>
      <c r="AL169">
        <f t="shared" si="29"/>
        <v>-50000</v>
      </c>
      <c r="AM169">
        <f t="shared" si="30"/>
        <v>4311600</v>
      </c>
    </row>
    <row r="170" spans="1:40">
      <c r="A170" s="41"/>
      <c r="B170" s="63">
        <v>0.1</v>
      </c>
      <c r="C170" s="63">
        <v>0</v>
      </c>
      <c r="D170" s="64">
        <v>3</v>
      </c>
      <c r="E170" s="44">
        <v>43353</v>
      </c>
      <c r="F170" s="41">
        <v>27370</v>
      </c>
      <c r="G170" s="41">
        <v>27500</v>
      </c>
      <c r="H170" s="41">
        <v>27300</v>
      </c>
      <c r="I170" s="41">
        <v>89</v>
      </c>
      <c r="J170" s="41">
        <v>113</v>
      </c>
      <c r="K170" s="46">
        <v>0.51041666666666663</v>
      </c>
      <c r="L170" s="41">
        <v>45</v>
      </c>
      <c r="M170" s="41">
        <v>168</v>
      </c>
      <c r="N170" s="43">
        <f t="shared" si="31"/>
        <v>-11</v>
      </c>
      <c r="O170" s="77">
        <f>ImpliedCallVolatility(F170,G170,((D170)/365),B170,I170,C170)</f>
        <v>0.13713836669921875</v>
      </c>
      <c r="P170" s="77">
        <f>ImpliedPutVolatility(F170,H170,((D170)/365),B170,J170,C170)</f>
        <v>0.15666961669921875</v>
      </c>
      <c r="Q170" t="str">
        <f t="shared" si="33"/>
        <v>Buy</v>
      </c>
      <c r="R170">
        <f t="shared" si="34"/>
        <v>141.39999999999998</v>
      </c>
      <c r="S170">
        <f t="shared" si="35"/>
        <v>27511.4</v>
      </c>
      <c r="T170">
        <f t="shared" si="36"/>
        <v>27228.6</v>
      </c>
      <c r="U170" s="36">
        <v>0.51041666666666663</v>
      </c>
      <c r="V170">
        <v>27161</v>
      </c>
      <c r="AB170">
        <v>27370</v>
      </c>
      <c r="AC170">
        <v>27170</v>
      </c>
      <c r="AE170">
        <f t="shared" si="15"/>
        <v>-200</v>
      </c>
      <c r="AF170">
        <f t="shared" si="37"/>
        <v>2869</v>
      </c>
      <c r="AI170">
        <f t="shared" si="27"/>
        <v>-22000</v>
      </c>
      <c r="AJ170">
        <f t="shared" si="28"/>
        <v>-40000</v>
      </c>
      <c r="AL170">
        <f t="shared" si="29"/>
        <v>-62000</v>
      </c>
      <c r="AM170">
        <f t="shared" si="30"/>
        <v>4249600</v>
      </c>
    </row>
    <row r="171" spans="1:40">
      <c r="A171" s="41" t="s">
        <v>57</v>
      </c>
      <c r="B171" s="63">
        <v>0.1</v>
      </c>
      <c r="C171" s="63">
        <v>0</v>
      </c>
      <c r="D171" s="64">
        <v>2</v>
      </c>
      <c r="E171" s="44">
        <v>43354</v>
      </c>
      <c r="F171" s="41">
        <v>27236</v>
      </c>
      <c r="G171" s="41">
        <v>27300</v>
      </c>
      <c r="H171" s="41">
        <v>27200</v>
      </c>
      <c r="I171" s="41">
        <v>98</v>
      </c>
      <c r="J171" s="41">
        <v>85</v>
      </c>
      <c r="K171" s="46">
        <v>0.58333333333333337</v>
      </c>
      <c r="L171" s="41">
        <v>43</v>
      </c>
      <c r="M171" s="41">
        <v>174</v>
      </c>
      <c r="N171" s="43">
        <f t="shared" si="31"/>
        <v>-34</v>
      </c>
      <c r="O171" s="77">
        <f>ImpliedCallVolatility(F171,G171,((D171)/365),B171,I171,C171)</f>
        <v>0.15026092529296875</v>
      </c>
      <c r="P171" s="77">
        <f>ImpliedPutVolatility(F171,H171,((D171)/365),B171,J171,C171)</f>
        <v>0.13507843017578125</v>
      </c>
      <c r="Q171" t="str">
        <f t="shared" si="33"/>
        <v>Sell</v>
      </c>
      <c r="R171">
        <f t="shared" si="34"/>
        <v>128.1</v>
      </c>
      <c r="S171">
        <f t="shared" si="35"/>
        <v>27364.1</v>
      </c>
      <c r="T171">
        <f t="shared" si="36"/>
        <v>27107.9</v>
      </c>
      <c r="U171" s="36">
        <v>0.59375</v>
      </c>
      <c r="V171">
        <v>27017</v>
      </c>
      <c r="AB171">
        <v>26837</v>
      </c>
      <c r="AC171">
        <v>27235</v>
      </c>
      <c r="AE171">
        <f t="shared" si="15"/>
        <v>398</v>
      </c>
      <c r="AF171">
        <f t="shared" si="37"/>
        <v>3267</v>
      </c>
      <c r="AI171">
        <f t="shared" si="27"/>
        <v>-68000</v>
      </c>
      <c r="AJ171">
        <f t="shared" si="28"/>
        <v>79600</v>
      </c>
      <c r="AL171">
        <f t="shared" si="29"/>
        <v>11600</v>
      </c>
      <c r="AM171">
        <f t="shared" si="30"/>
        <v>4261200</v>
      </c>
    </row>
    <row r="172" spans="1:40" ht="13.5" thickBot="1">
      <c r="A172" s="41" t="s">
        <v>58</v>
      </c>
      <c r="B172" s="63">
        <v>0.1</v>
      </c>
      <c r="C172" s="63">
        <v>0</v>
      </c>
      <c r="D172" s="64">
        <v>1</v>
      </c>
      <c r="E172" s="48">
        <v>43355</v>
      </c>
      <c r="F172" s="41">
        <v>26731</v>
      </c>
      <c r="G172" s="41">
        <v>26700</v>
      </c>
      <c r="H172" s="41">
        <v>26700</v>
      </c>
      <c r="I172" s="41">
        <v>106</v>
      </c>
      <c r="J172" s="41">
        <v>63</v>
      </c>
      <c r="K172" s="46">
        <v>0.42708333333333331</v>
      </c>
      <c r="L172" s="41">
        <v>78</v>
      </c>
      <c r="M172" s="41">
        <v>70</v>
      </c>
      <c r="N172" s="43">
        <f t="shared" si="31"/>
        <v>21</v>
      </c>
      <c r="O172" s="77">
        <f>ImpliedCallVolatility(F172,G172,((D172)/365),B172,I172,C172)</f>
        <v>0.15323638916015625</v>
      </c>
      <c r="P172" s="77">
        <f>ImpliedPutVolatility(F172,H172,((D172)/365),B172,J172,C172)</f>
        <v>0.14469146728515625</v>
      </c>
      <c r="Q172" t="str">
        <f t="shared" si="33"/>
        <v>Sell</v>
      </c>
      <c r="R172">
        <f t="shared" si="34"/>
        <v>118.3</v>
      </c>
      <c r="S172">
        <f t="shared" si="35"/>
        <v>26849.3</v>
      </c>
      <c r="T172">
        <f t="shared" si="36"/>
        <v>26612.7</v>
      </c>
      <c r="U172" s="36">
        <v>0.63541666666666663</v>
      </c>
      <c r="V172">
        <v>26804</v>
      </c>
      <c r="AB172">
        <v>26793</v>
      </c>
      <c r="AC172">
        <v>26731</v>
      </c>
      <c r="AE172">
        <f t="shared" si="15"/>
        <v>-62</v>
      </c>
      <c r="AF172">
        <f t="shared" si="37"/>
        <v>3205</v>
      </c>
      <c r="AI172">
        <f t="shared" si="27"/>
        <v>42000</v>
      </c>
      <c r="AJ172">
        <f t="shared" si="28"/>
        <v>-12400</v>
      </c>
      <c r="AL172">
        <f t="shared" si="29"/>
        <v>29600</v>
      </c>
      <c r="AM172">
        <f t="shared" si="30"/>
        <v>4290800</v>
      </c>
    </row>
    <row r="173" spans="1:40">
      <c r="A173" s="41"/>
      <c r="B173" s="63">
        <v>0.1</v>
      </c>
      <c r="C173" s="63">
        <v>0</v>
      </c>
      <c r="D173" s="64">
        <v>4</v>
      </c>
      <c r="E173" s="42">
        <v>43357</v>
      </c>
      <c r="F173" s="41">
        <v>27071</v>
      </c>
      <c r="G173" s="41">
        <v>27200</v>
      </c>
      <c r="H173" s="41">
        <v>27100</v>
      </c>
      <c r="I173" s="41">
        <v>145</v>
      </c>
      <c r="J173" s="41">
        <v>159</v>
      </c>
      <c r="K173" s="46">
        <v>0.63541666666666663</v>
      </c>
      <c r="L173" s="41">
        <v>150</v>
      </c>
      <c r="M173" s="41">
        <v>122</v>
      </c>
      <c r="N173" s="43">
        <f t="shared" si="31"/>
        <v>32</v>
      </c>
      <c r="O173" s="77">
        <f>ImpliedCallVolatility(F173,G173,((D173)/365),B173,I173,C173)</f>
        <v>0.16819000244140625</v>
      </c>
      <c r="P173" s="77">
        <f>ImpliedPutVolatility(F173,H173,((D173)/365),B173,J173,C173)</f>
        <v>0.14095306396484375</v>
      </c>
      <c r="Q173" t="str">
        <f t="shared" si="33"/>
        <v>Sell</v>
      </c>
      <c r="R173">
        <f t="shared" si="34"/>
        <v>212.79999999999998</v>
      </c>
      <c r="S173">
        <f t="shared" si="35"/>
        <v>27283.8</v>
      </c>
      <c r="T173">
        <f t="shared" si="36"/>
        <v>26858.2</v>
      </c>
      <c r="U173" s="36">
        <v>0.63541666666666663</v>
      </c>
      <c r="V173">
        <v>27161</v>
      </c>
      <c r="AB173">
        <v>27140</v>
      </c>
      <c r="AC173">
        <v>27071</v>
      </c>
      <c r="AE173">
        <f t="shared" si="15"/>
        <v>-69</v>
      </c>
      <c r="AF173">
        <f t="shared" si="37"/>
        <v>3136</v>
      </c>
      <c r="AI173">
        <f t="shared" si="27"/>
        <v>64000</v>
      </c>
      <c r="AJ173">
        <f t="shared" si="28"/>
        <v>-13800</v>
      </c>
      <c r="AL173">
        <f t="shared" si="29"/>
        <v>50200</v>
      </c>
      <c r="AM173">
        <f t="shared" si="30"/>
        <v>4341000</v>
      </c>
    </row>
    <row r="174" spans="1:40">
      <c r="A174" s="41"/>
      <c r="B174" s="63">
        <v>0.1</v>
      </c>
      <c r="C174" s="63">
        <v>0</v>
      </c>
      <c r="D174" s="64">
        <v>3</v>
      </c>
      <c r="E174" s="44">
        <v>43360</v>
      </c>
      <c r="F174" s="41">
        <v>26831</v>
      </c>
      <c r="G174" s="41">
        <v>26900</v>
      </c>
      <c r="H174" s="41">
        <v>26800</v>
      </c>
      <c r="I174" s="41">
        <v>121</v>
      </c>
      <c r="J174" s="41">
        <v>119</v>
      </c>
      <c r="K174" s="46">
        <v>0.63541666666666663</v>
      </c>
      <c r="L174" s="41">
        <v>112</v>
      </c>
      <c r="M174" s="41">
        <v>129</v>
      </c>
      <c r="N174" s="43">
        <f t="shared" si="31"/>
        <v>-1</v>
      </c>
      <c r="O174" s="77">
        <f>ImpliedCallVolatility(F174,G174,((D174)/365),B174,I174,C174)</f>
        <v>0.14743804931640625</v>
      </c>
      <c r="P174" s="77">
        <f>ImpliedPutVolatility(F174,H174,((D174)/365),B174,J174,C174)</f>
        <v>0.14850616455078125</v>
      </c>
      <c r="Q174" t="str">
        <f t="shared" si="33"/>
        <v>Buy</v>
      </c>
      <c r="R174">
        <f t="shared" si="34"/>
        <v>168</v>
      </c>
      <c r="S174">
        <f t="shared" si="35"/>
        <v>26999</v>
      </c>
      <c r="T174">
        <f t="shared" si="36"/>
        <v>26663</v>
      </c>
      <c r="U174" s="36">
        <v>0.63541666666666663</v>
      </c>
      <c r="V174">
        <v>26812</v>
      </c>
      <c r="AB174">
        <v>26843</v>
      </c>
      <c r="AC174">
        <v>26831</v>
      </c>
      <c r="AE174">
        <f t="shared" si="15"/>
        <v>-12</v>
      </c>
      <c r="AF174">
        <f t="shared" si="37"/>
        <v>3124</v>
      </c>
      <c r="AI174">
        <f t="shared" si="27"/>
        <v>-2000</v>
      </c>
      <c r="AJ174">
        <f t="shared" si="28"/>
        <v>-2400</v>
      </c>
      <c r="AL174">
        <f t="shared" si="29"/>
        <v>-4400</v>
      </c>
      <c r="AM174">
        <f t="shared" si="30"/>
        <v>4336600</v>
      </c>
    </row>
    <row r="175" spans="1:40">
      <c r="A175" s="41" t="s">
        <v>57</v>
      </c>
      <c r="B175" s="63">
        <v>0.1</v>
      </c>
      <c r="C175" s="63">
        <v>0</v>
      </c>
      <c r="D175" s="64">
        <v>2</v>
      </c>
      <c r="E175" s="44">
        <v>43361</v>
      </c>
      <c r="F175" s="41">
        <v>26850</v>
      </c>
      <c r="G175" s="41">
        <v>26900</v>
      </c>
      <c r="H175" s="41">
        <v>26900</v>
      </c>
      <c r="I175" s="41">
        <v>127</v>
      </c>
      <c r="J175" s="41">
        <v>118</v>
      </c>
      <c r="K175" s="46">
        <v>0.4375</v>
      </c>
      <c r="L175" s="41">
        <v>45</v>
      </c>
      <c r="M175" s="41">
        <v>258</v>
      </c>
      <c r="N175" s="43">
        <f t="shared" si="31"/>
        <v>-58</v>
      </c>
      <c r="O175" s="77">
        <f>ImpliedCallVolatility(F175,G175,((D175)/365),B175,I175,C175)</f>
        <v>0.18138885498046875</v>
      </c>
      <c r="P175" s="77">
        <f>ImpliedPutVolatility(F175,H175,((D175)/365),B175,J175,C175)</f>
        <v>0.12523651123046875</v>
      </c>
      <c r="Q175" t="str">
        <f t="shared" si="33"/>
        <v>Sell</v>
      </c>
      <c r="R175">
        <f t="shared" si="34"/>
        <v>171.5</v>
      </c>
      <c r="S175">
        <f t="shared" si="35"/>
        <v>27021.5</v>
      </c>
      <c r="T175">
        <f t="shared" si="36"/>
        <v>26678.5</v>
      </c>
      <c r="U175" s="36">
        <v>0.44791666666666669</v>
      </c>
      <c r="V175">
        <v>26637</v>
      </c>
      <c r="AB175">
        <v>26496</v>
      </c>
      <c r="AC175">
        <v>26850</v>
      </c>
      <c r="AE175">
        <f t="shared" si="15"/>
        <v>354</v>
      </c>
      <c r="AF175">
        <f t="shared" si="37"/>
        <v>3478</v>
      </c>
      <c r="AI175">
        <f t="shared" si="27"/>
        <v>-116000</v>
      </c>
      <c r="AJ175">
        <f t="shared" si="28"/>
        <v>70800</v>
      </c>
      <c r="AL175">
        <f t="shared" si="29"/>
        <v>-45200</v>
      </c>
      <c r="AM175">
        <f t="shared" si="30"/>
        <v>4291400</v>
      </c>
    </row>
    <row r="176" spans="1:40" ht="13.5" thickBot="1">
      <c r="A176" s="41" t="s">
        <v>58</v>
      </c>
      <c r="B176" s="63">
        <v>0.1</v>
      </c>
      <c r="C176" s="63">
        <v>0</v>
      </c>
      <c r="D176" s="64">
        <v>1</v>
      </c>
      <c r="E176" s="48">
        <v>43362</v>
      </c>
      <c r="F176" s="41">
        <v>26486</v>
      </c>
      <c r="G176" s="41">
        <v>26500</v>
      </c>
      <c r="H176" s="41">
        <v>26500</v>
      </c>
      <c r="I176" s="41">
        <v>70</v>
      </c>
      <c r="J176" s="41">
        <v>88</v>
      </c>
      <c r="K176" s="46">
        <v>0.54166666666666663</v>
      </c>
      <c r="L176" s="41">
        <v>22</v>
      </c>
      <c r="M176" s="41">
        <v>123</v>
      </c>
      <c r="N176" s="43">
        <f t="shared" si="31"/>
        <v>13</v>
      </c>
      <c r="O176" s="77">
        <f>ImpliedCallVolatility(F176,G176,((D176)/365),B176,I176,C176)</f>
        <v>0.13256072998046875</v>
      </c>
      <c r="P176" s="77">
        <f>ImpliedPutVolatility(F176,H176,((D176)/365),B176,J176,C176)</f>
        <v>0.15293121337890625</v>
      </c>
      <c r="Q176" t="str">
        <f t="shared" si="33"/>
        <v>Buy</v>
      </c>
      <c r="R176">
        <f t="shared" si="34"/>
        <v>110.6</v>
      </c>
      <c r="S176">
        <f t="shared" si="35"/>
        <v>26596.6</v>
      </c>
      <c r="T176">
        <f t="shared" si="36"/>
        <v>26375.4</v>
      </c>
      <c r="U176" s="36">
        <v>0.61458333333333337</v>
      </c>
      <c r="V176">
        <v>26254</v>
      </c>
      <c r="AB176">
        <v>26486</v>
      </c>
      <c r="AC176">
        <v>26286</v>
      </c>
      <c r="AE176">
        <f t="shared" si="15"/>
        <v>-200</v>
      </c>
      <c r="AF176">
        <f t="shared" si="37"/>
        <v>3278</v>
      </c>
      <c r="AI176">
        <f t="shared" si="27"/>
        <v>26000</v>
      </c>
      <c r="AJ176">
        <f t="shared" si="28"/>
        <v>-40000</v>
      </c>
      <c r="AL176">
        <f t="shared" si="29"/>
        <v>-14000</v>
      </c>
      <c r="AM176">
        <f t="shared" si="30"/>
        <v>4277400</v>
      </c>
    </row>
    <row r="177" spans="1:40">
      <c r="A177" s="41"/>
      <c r="B177" s="63">
        <v>0.1</v>
      </c>
      <c r="C177" s="63">
        <v>0</v>
      </c>
      <c r="D177" s="64">
        <v>5</v>
      </c>
      <c r="E177" s="42">
        <v>43364</v>
      </c>
      <c r="F177" s="41">
        <v>26426</v>
      </c>
      <c r="G177" s="41">
        <v>26600</v>
      </c>
      <c r="H177" s="41">
        <v>26400</v>
      </c>
      <c r="I177" s="41">
        <v>162</v>
      </c>
      <c r="J177" s="41">
        <v>146</v>
      </c>
      <c r="K177" s="46">
        <v>0.52708333333333335</v>
      </c>
      <c r="L177" s="41">
        <v>76</v>
      </c>
      <c r="M177" s="41">
        <v>242</v>
      </c>
      <c r="N177" s="43">
        <f t="shared" si="31"/>
        <v>-10</v>
      </c>
      <c r="O177" s="77">
        <f>ImpliedCallVolatility(F177,G177,((D177)/365),B177,I177,C177)</f>
        <v>0.18115997314453125</v>
      </c>
      <c r="P177" s="77">
        <f>ImpliedPutVolatility(F177,H177,((D177)/365),B177,J177,C177)</f>
        <v>0.14225006103515625</v>
      </c>
      <c r="Q177" t="str">
        <f t="shared" si="33"/>
        <v>Sell</v>
      </c>
      <c r="R177">
        <f t="shared" si="34"/>
        <v>215.6</v>
      </c>
      <c r="S177">
        <f t="shared" si="35"/>
        <v>26641.599999999999</v>
      </c>
      <c r="T177">
        <f t="shared" si="36"/>
        <v>26210.400000000001</v>
      </c>
      <c r="U177" s="36">
        <v>0.53125</v>
      </c>
      <c r="V177">
        <v>26103</v>
      </c>
      <c r="AB177">
        <v>26484</v>
      </c>
      <c r="AC177">
        <v>26426</v>
      </c>
      <c r="AE177">
        <f t="shared" si="15"/>
        <v>-58</v>
      </c>
      <c r="AF177">
        <f t="shared" si="37"/>
        <v>3220</v>
      </c>
      <c r="AI177">
        <f t="shared" si="27"/>
        <v>-20000</v>
      </c>
      <c r="AJ177">
        <f t="shared" si="28"/>
        <v>-11600</v>
      </c>
      <c r="AL177">
        <f t="shared" si="29"/>
        <v>-31600</v>
      </c>
      <c r="AM177">
        <f t="shared" si="30"/>
        <v>4245800</v>
      </c>
    </row>
    <row r="178" spans="1:40">
      <c r="A178" s="41"/>
      <c r="B178" s="63">
        <v>0.1</v>
      </c>
      <c r="C178" s="63">
        <v>0</v>
      </c>
      <c r="D178" s="64">
        <v>4</v>
      </c>
      <c r="E178" s="44">
        <v>43367</v>
      </c>
      <c r="F178" s="41">
        <v>25404</v>
      </c>
      <c r="G178" s="41">
        <v>25500</v>
      </c>
      <c r="H178" s="41">
        <v>25400</v>
      </c>
      <c r="I178" s="41">
        <v>251</v>
      </c>
      <c r="J178" s="41">
        <v>279</v>
      </c>
      <c r="K178" s="46">
        <v>0.59375</v>
      </c>
      <c r="L178" s="41">
        <v>76</v>
      </c>
      <c r="M178" s="41">
        <v>455</v>
      </c>
      <c r="N178" s="43">
        <f t="shared" si="31"/>
        <v>-1</v>
      </c>
      <c r="O178" s="77">
        <f>ImpliedCallVolatility(F178,G178,((D178)/365),B178,I178,C178)</f>
        <v>0.26706695556640625</v>
      </c>
      <c r="P178" s="77">
        <f>ImpliedPutVolatility(F178,H178,((D178)/365),B178,J178,C178)</f>
        <v>0.27790069580078125</v>
      </c>
      <c r="Q178" t="str">
        <f t="shared" si="33"/>
        <v>Buy</v>
      </c>
      <c r="R178">
        <f t="shared" si="34"/>
        <v>371</v>
      </c>
      <c r="S178">
        <f t="shared" si="35"/>
        <v>25775</v>
      </c>
      <c r="T178">
        <f t="shared" si="36"/>
        <v>25033</v>
      </c>
      <c r="U178" s="36">
        <v>0.47916666666666669</v>
      </c>
      <c r="V178">
        <v>25163</v>
      </c>
      <c r="AB178">
        <v>25404</v>
      </c>
      <c r="AC178">
        <v>25204</v>
      </c>
      <c r="AE178">
        <f t="shared" si="15"/>
        <v>-200</v>
      </c>
      <c r="AF178">
        <f t="shared" si="37"/>
        <v>3020</v>
      </c>
      <c r="AI178">
        <f t="shared" si="27"/>
        <v>-2000</v>
      </c>
      <c r="AJ178">
        <f t="shared" si="28"/>
        <v>-40000</v>
      </c>
      <c r="AL178">
        <f t="shared" si="29"/>
        <v>-42000</v>
      </c>
      <c r="AM178">
        <f t="shared" si="30"/>
        <v>4203800</v>
      </c>
    </row>
    <row r="179" spans="1:40">
      <c r="A179" s="41"/>
      <c r="B179" s="63">
        <v>0.1</v>
      </c>
      <c r="C179" s="63">
        <v>0</v>
      </c>
      <c r="D179" s="64">
        <v>3</v>
      </c>
      <c r="E179" s="44">
        <v>43368</v>
      </c>
      <c r="F179" s="41">
        <v>24769</v>
      </c>
      <c r="G179" s="41">
        <v>24800</v>
      </c>
      <c r="H179" s="41">
        <v>24800</v>
      </c>
      <c r="I179" s="41">
        <v>239</v>
      </c>
      <c r="J179" s="41">
        <v>258</v>
      </c>
      <c r="K179" s="46">
        <v>0.45833333333333331</v>
      </c>
      <c r="L179" s="41">
        <v>460</v>
      </c>
      <c r="M179" s="41">
        <v>137</v>
      </c>
      <c r="N179" s="43">
        <f t="shared" si="31"/>
        <v>-100</v>
      </c>
      <c r="O179" s="77">
        <f>ImpliedCallVolatility(F179,G179,((D179)/365),B179,I179,C179)</f>
        <v>0.27263641357421875</v>
      </c>
      <c r="P179" s="77">
        <f>ImpliedPutVolatility(F179,H179,((D179)/365),B179,J179,C179)</f>
        <v>0.28194427490234375</v>
      </c>
      <c r="Q179" t="str">
        <f t="shared" si="33"/>
        <v>Buy</v>
      </c>
      <c r="R179">
        <f t="shared" si="34"/>
        <v>347.9</v>
      </c>
      <c r="S179">
        <f t="shared" si="35"/>
        <v>25116.9</v>
      </c>
      <c r="T179">
        <f t="shared" si="36"/>
        <v>24421.1</v>
      </c>
      <c r="U179" s="36">
        <v>0.41666666666666669</v>
      </c>
      <c r="V179">
        <v>24980</v>
      </c>
      <c r="AB179">
        <v>24770</v>
      </c>
      <c r="AC179">
        <v>24831</v>
      </c>
      <c r="AE179">
        <f t="shared" si="15"/>
        <v>61</v>
      </c>
      <c r="AF179">
        <f t="shared" si="37"/>
        <v>3081</v>
      </c>
      <c r="AI179">
        <f t="shared" si="27"/>
        <v>-200000</v>
      </c>
      <c r="AJ179">
        <f t="shared" si="28"/>
        <v>12200</v>
      </c>
      <c r="AL179">
        <f t="shared" si="29"/>
        <v>-187800</v>
      </c>
      <c r="AM179">
        <f t="shared" si="30"/>
        <v>4016000</v>
      </c>
    </row>
    <row r="180" spans="1:40">
      <c r="A180" s="41" t="s">
        <v>57</v>
      </c>
      <c r="B180" s="63">
        <v>0.1</v>
      </c>
      <c r="C180" s="63">
        <v>0</v>
      </c>
      <c r="D180" s="64">
        <v>2</v>
      </c>
      <c r="E180" s="44">
        <v>43369</v>
      </c>
      <c r="F180" s="41">
        <v>25380</v>
      </c>
      <c r="G180" s="41">
        <v>25400</v>
      </c>
      <c r="H180" s="41">
        <v>25400</v>
      </c>
      <c r="I180" s="41">
        <v>200</v>
      </c>
      <c r="J180" s="41">
        <v>214</v>
      </c>
      <c r="K180" s="46">
        <v>0.63541666666666663</v>
      </c>
      <c r="L180" s="41">
        <v>134</v>
      </c>
      <c r="M180" s="41">
        <v>136</v>
      </c>
      <c r="N180" s="43">
        <f t="shared" si="31"/>
        <v>144</v>
      </c>
      <c r="O180" s="77">
        <f>ImpliedCallVolatility(F180,G180,((D180)/365),B180,I180,C180)</f>
        <v>0.27088165283203125</v>
      </c>
      <c r="P180" s="77">
        <f>ImpliedPutVolatility(F180,H180,((D180)/365),B180,J180,C180)</f>
        <v>0.28141021728515625</v>
      </c>
      <c r="Q180" t="str">
        <f t="shared" si="33"/>
        <v>Buy</v>
      </c>
      <c r="R180">
        <f t="shared" si="34"/>
        <v>289.79999999999995</v>
      </c>
      <c r="S180">
        <f t="shared" si="35"/>
        <v>25669.8</v>
      </c>
      <c r="T180">
        <f t="shared" si="36"/>
        <v>25090.2</v>
      </c>
      <c r="U180" s="36">
        <v>0.63541666666666663</v>
      </c>
      <c r="V180">
        <v>25395</v>
      </c>
      <c r="AB180">
        <v>25381</v>
      </c>
      <c r="AC180">
        <v>25357</v>
      </c>
      <c r="AE180">
        <f t="shared" si="15"/>
        <v>-24</v>
      </c>
      <c r="AF180">
        <f t="shared" si="37"/>
        <v>3057</v>
      </c>
      <c r="AI180">
        <f t="shared" si="27"/>
        <v>288000</v>
      </c>
      <c r="AJ180">
        <f t="shared" si="28"/>
        <v>-4800</v>
      </c>
      <c r="AL180">
        <f t="shared" si="29"/>
        <v>283200</v>
      </c>
      <c r="AM180">
        <f t="shared" si="30"/>
        <v>4299200</v>
      </c>
    </row>
    <row r="181" spans="1:40" ht="13.5" thickBot="1">
      <c r="A181" s="41" t="s">
        <v>58</v>
      </c>
      <c r="B181" s="63">
        <v>0.1</v>
      </c>
      <c r="C181" s="63">
        <v>0</v>
      </c>
      <c r="D181" s="64">
        <v>1</v>
      </c>
      <c r="E181" s="48">
        <v>43370</v>
      </c>
      <c r="F181" s="41">
        <v>25378</v>
      </c>
      <c r="G181" s="41">
        <v>25400</v>
      </c>
      <c r="H181" s="41">
        <v>25400</v>
      </c>
      <c r="I181" s="41">
        <v>89</v>
      </c>
      <c r="J181" s="41">
        <v>114</v>
      </c>
      <c r="K181" s="46">
        <v>0.44791666666666669</v>
      </c>
      <c r="L181" s="41">
        <v>37</v>
      </c>
      <c r="M181" s="41">
        <v>182</v>
      </c>
      <c r="N181" s="43">
        <f t="shared" si="31"/>
        <v>-16</v>
      </c>
      <c r="O181" s="77">
        <f>ImpliedCallVolatility(F181,G181,((D181)/365),B181,I181,C181)</f>
        <v>0.18177032470703125</v>
      </c>
      <c r="P181" s="77">
        <f>ImpliedPutVolatility(F181,H181,((D181)/365),B181,J181,C181)</f>
        <v>0.20053863525390625</v>
      </c>
      <c r="Q181" t="str">
        <f t="shared" si="33"/>
        <v>Buy</v>
      </c>
      <c r="R181">
        <f t="shared" si="34"/>
        <v>142.1</v>
      </c>
      <c r="S181">
        <f t="shared" si="35"/>
        <v>25520.1</v>
      </c>
      <c r="T181">
        <f t="shared" si="36"/>
        <v>25235.9</v>
      </c>
      <c r="U181" s="36">
        <v>0.48958333333333331</v>
      </c>
      <c r="V181">
        <v>25166</v>
      </c>
      <c r="AB181">
        <v>25379</v>
      </c>
      <c r="AC181">
        <v>25179</v>
      </c>
      <c r="AE181">
        <f t="shared" si="15"/>
        <v>-200</v>
      </c>
      <c r="AF181">
        <f t="shared" si="37"/>
        <v>2857</v>
      </c>
      <c r="AI181">
        <f t="shared" si="27"/>
        <v>-32000</v>
      </c>
      <c r="AJ181">
        <f t="shared" si="28"/>
        <v>-40000</v>
      </c>
      <c r="AL181">
        <f t="shared" si="29"/>
        <v>-72000</v>
      </c>
      <c r="AM181">
        <f t="shared" si="30"/>
        <v>4227200</v>
      </c>
    </row>
    <row r="182" spans="1:40">
      <c r="A182" s="41"/>
      <c r="B182" s="63">
        <v>0.1</v>
      </c>
      <c r="C182" s="63">
        <v>0</v>
      </c>
      <c r="D182" s="64">
        <v>4</v>
      </c>
      <c r="E182" s="42">
        <v>43371</v>
      </c>
      <c r="F182" s="41">
        <v>25022</v>
      </c>
      <c r="G182" s="41">
        <v>25200</v>
      </c>
      <c r="H182" s="41">
        <v>25000</v>
      </c>
      <c r="I182" s="41">
        <v>209</v>
      </c>
      <c r="J182" s="41">
        <v>235</v>
      </c>
      <c r="K182" s="46">
        <v>0.5</v>
      </c>
      <c r="L182" s="41">
        <v>351</v>
      </c>
      <c r="M182" s="41">
        <v>154</v>
      </c>
      <c r="N182" s="43">
        <f t="shared" si="31"/>
        <v>-61</v>
      </c>
      <c r="O182" s="77">
        <f>ImpliedCallVolatility(F182,G182,((D182)/365),B182,I182,C182)</f>
        <v>0.26500701904296875</v>
      </c>
      <c r="P182" s="77">
        <f>ImpliedPutVolatility(F182,H182,((D182)/365),B182,J182,C182)</f>
        <v>0.24806976318359375</v>
      </c>
      <c r="Q182" t="str">
        <f t="shared" si="33"/>
        <v>Sell</v>
      </c>
      <c r="R182">
        <f t="shared" si="34"/>
        <v>310.79999999999995</v>
      </c>
      <c r="S182">
        <f t="shared" si="35"/>
        <v>25332.799999999999</v>
      </c>
      <c r="T182">
        <f t="shared" si="36"/>
        <v>24711.200000000001</v>
      </c>
      <c r="U182" s="36">
        <v>0.48958333333333331</v>
      </c>
      <c r="V182">
        <v>25283</v>
      </c>
      <c r="X182" t="s">
        <v>71</v>
      </c>
      <c r="Y182" s="72">
        <f>SUM(N165:N182)</f>
        <v>-193</v>
      </c>
      <c r="AB182">
        <v>25222</v>
      </c>
      <c r="AC182">
        <v>25022</v>
      </c>
      <c r="AE182">
        <f t="shared" si="15"/>
        <v>-200</v>
      </c>
      <c r="AF182">
        <f t="shared" si="37"/>
        <v>2657</v>
      </c>
      <c r="AG182">
        <f>SUM(AE165:AE182)</f>
        <v>-219</v>
      </c>
      <c r="AI182">
        <f t="shared" si="27"/>
        <v>-122000</v>
      </c>
      <c r="AJ182">
        <f t="shared" si="28"/>
        <v>-40000</v>
      </c>
      <c r="AL182">
        <f t="shared" si="29"/>
        <v>-162000</v>
      </c>
      <c r="AM182">
        <f t="shared" si="30"/>
        <v>4065200</v>
      </c>
      <c r="AN182">
        <f>AM182-AM164</f>
        <v>-429800</v>
      </c>
    </row>
    <row r="183" spans="1:40">
      <c r="A183" s="41"/>
      <c r="B183" s="63">
        <v>0.1</v>
      </c>
      <c r="C183" s="63">
        <v>0</v>
      </c>
      <c r="D183" s="64">
        <v>3</v>
      </c>
      <c r="E183" s="44">
        <v>43374</v>
      </c>
      <c r="F183" s="41">
        <v>24902</v>
      </c>
      <c r="G183" s="41">
        <v>25100</v>
      </c>
      <c r="H183" s="41">
        <v>24700</v>
      </c>
      <c r="I183" s="41">
        <v>202</v>
      </c>
      <c r="J183" s="41">
        <v>197</v>
      </c>
      <c r="K183" s="46">
        <v>0.59375</v>
      </c>
      <c r="L183" s="41">
        <v>279</v>
      </c>
      <c r="M183" s="41">
        <v>83</v>
      </c>
      <c r="N183" s="43">
        <f t="shared" si="31"/>
        <v>37</v>
      </c>
      <c r="O183" s="77">
        <f>ImpliedCallVolatility(F183,G183,((D183)/365),B183,I183,C183)</f>
        <v>0.31185150146484375</v>
      </c>
      <c r="P183" s="77">
        <f>ImpliedPutVolatility(F183,H183,((D183)/365),B183,J183,C183)</f>
        <v>0.32894134521484375</v>
      </c>
      <c r="Q183" t="str">
        <f t="shared" si="33"/>
        <v>Buy</v>
      </c>
      <c r="R183">
        <f t="shared" si="34"/>
        <v>279.29999999999995</v>
      </c>
      <c r="S183">
        <f t="shared" si="35"/>
        <v>25181.3</v>
      </c>
      <c r="T183">
        <f t="shared" si="36"/>
        <v>24622.7</v>
      </c>
      <c r="U183" s="36">
        <v>0.59375</v>
      </c>
      <c r="V183">
        <v>25125</v>
      </c>
      <c r="AB183">
        <v>24902</v>
      </c>
      <c r="AC183">
        <v>25357</v>
      </c>
      <c r="AE183">
        <f t="shared" si="15"/>
        <v>455</v>
      </c>
      <c r="AF183">
        <f t="shared" si="37"/>
        <v>3112</v>
      </c>
      <c r="AI183">
        <f t="shared" ref="AI183:AI246" si="38">N183*2000</f>
        <v>74000</v>
      </c>
      <c r="AJ183">
        <f t="shared" ref="AJ183:AJ246" si="39">AE183*200</f>
        <v>91000</v>
      </c>
      <c r="AL183">
        <f t="shared" ref="AL183:AL246" si="40">AI183+AJ183</f>
        <v>165000</v>
      </c>
      <c r="AM183">
        <f t="shared" ref="AM183:AM246" si="41">AL183+AM182</f>
        <v>4230200</v>
      </c>
    </row>
    <row r="184" spans="1:40">
      <c r="A184" s="41" t="s">
        <v>57</v>
      </c>
      <c r="B184" s="63">
        <v>0.1</v>
      </c>
      <c r="C184" s="63">
        <v>0</v>
      </c>
      <c r="D184" s="64">
        <v>2</v>
      </c>
      <c r="E184" s="44">
        <v>43376</v>
      </c>
      <c r="F184" s="41">
        <v>25248</v>
      </c>
      <c r="G184" s="41">
        <v>25300</v>
      </c>
      <c r="H184" s="41">
        <v>25200</v>
      </c>
      <c r="I184" s="41">
        <v>140</v>
      </c>
      <c r="J184" s="41">
        <v>143</v>
      </c>
      <c r="K184" s="46">
        <v>0.51388888888888895</v>
      </c>
      <c r="L184" s="41">
        <v>213</v>
      </c>
      <c r="M184" s="41">
        <v>61</v>
      </c>
      <c r="N184" s="43">
        <f t="shared" si="31"/>
        <v>9</v>
      </c>
      <c r="O184" s="77">
        <f>ImpliedCallVolatility(F184,G184,((D184)/365),B184,I184,C184)</f>
        <v>0.21221160888671875</v>
      </c>
      <c r="P184" s="77">
        <f>ImpliedPutVolatility(F184,H184,((D184)/365),B184,J184,C184)</f>
        <v>0.23113250732421875</v>
      </c>
      <c r="Q184" t="str">
        <f t="shared" si="33"/>
        <v>Buy</v>
      </c>
      <c r="R184">
        <f t="shared" si="34"/>
        <v>198.1</v>
      </c>
      <c r="S184">
        <f t="shared" si="35"/>
        <v>25446.1</v>
      </c>
      <c r="T184">
        <f t="shared" si="36"/>
        <v>25049.9</v>
      </c>
      <c r="U184" s="36">
        <v>0.52083333333333337</v>
      </c>
      <c r="V184">
        <v>25464</v>
      </c>
      <c r="AB184">
        <v>25248</v>
      </c>
      <c r="AC184">
        <v>25174</v>
      </c>
      <c r="AE184">
        <f t="shared" si="15"/>
        <v>-74</v>
      </c>
      <c r="AF184">
        <f t="shared" si="37"/>
        <v>3038</v>
      </c>
      <c r="AI184">
        <f t="shared" si="38"/>
        <v>18000</v>
      </c>
      <c r="AJ184">
        <f t="shared" si="39"/>
        <v>-14800</v>
      </c>
      <c r="AL184">
        <f t="shared" si="40"/>
        <v>3200</v>
      </c>
      <c r="AM184">
        <f t="shared" si="41"/>
        <v>4233400</v>
      </c>
    </row>
    <row r="185" spans="1:40" ht="13.5" thickBot="1">
      <c r="A185" s="41" t="s">
        <v>58</v>
      </c>
      <c r="B185" s="63">
        <v>0.1</v>
      </c>
      <c r="C185" s="63">
        <v>0</v>
      </c>
      <c r="D185" s="64">
        <v>1</v>
      </c>
      <c r="E185" s="48">
        <v>43377</v>
      </c>
      <c r="F185" s="41">
        <v>24753</v>
      </c>
      <c r="G185" s="41">
        <v>24800</v>
      </c>
      <c r="H185" s="41">
        <v>24700</v>
      </c>
      <c r="I185" s="41">
        <v>70</v>
      </c>
      <c r="J185" s="41">
        <v>76</v>
      </c>
      <c r="K185" s="46">
        <v>0.55555555555555558</v>
      </c>
      <c r="L185" s="41">
        <v>16</v>
      </c>
      <c r="M185" s="41">
        <v>104</v>
      </c>
      <c r="N185" s="43">
        <f t="shared" si="31"/>
        <v>26</v>
      </c>
      <c r="O185" s="77">
        <f>ImpliedCallVolatility(F185,G185,((D185)/365),B185,I185,C185)</f>
        <v>0.17139434814453125</v>
      </c>
      <c r="P185" s="77">
        <f>ImpliedPutVolatility(F185,H185,((D185)/365),B185,J185,C185)</f>
        <v>0.19977569580078125</v>
      </c>
      <c r="Q185" t="str">
        <f t="shared" si="33"/>
        <v>Buy</v>
      </c>
      <c r="R185">
        <f t="shared" si="34"/>
        <v>102.19999999999999</v>
      </c>
      <c r="S185">
        <f t="shared" si="35"/>
        <v>24855.200000000001</v>
      </c>
      <c r="T185">
        <f t="shared" si="36"/>
        <v>24650.799999999999</v>
      </c>
      <c r="U185" s="36">
        <v>0.57291666666666663</v>
      </c>
      <c r="V185">
        <v>24534</v>
      </c>
      <c r="AB185">
        <v>24753</v>
      </c>
      <c r="AC185">
        <v>24553</v>
      </c>
      <c r="AE185">
        <f t="shared" si="15"/>
        <v>-200</v>
      </c>
      <c r="AF185">
        <f t="shared" si="37"/>
        <v>2838</v>
      </c>
      <c r="AI185">
        <f t="shared" si="38"/>
        <v>52000</v>
      </c>
      <c r="AJ185">
        <f t="shared" si="39"/>
        <v>-40000</v>
      </c>
      <c r="AL185">
        <f t="shared" si="40"/>
        <v>12000</v>
      </c>
      <c r="AM185">
        <f t="shared" si="41"/>
        <v>4245400</v>
      </c>
    </row>
    <row r="186" spans="1:40">
      <c r="A186" s="41"/>
      <c r="B186" s="63">
        <v>0.1</v>
      </c>
      <c r="C186" s="63">
        <v>0</v>
      </c>
      <c r="D186" s="64">
        <v>5</v>
      </c>
      <c r="E186" s="42">
        <v>43378</v>
      </c>
      <c r="F186" s="41">
        <v>24769</v>
      </c>
      <c r="G186" s="41">
        <v>25100</v>
      </c>
      <c r="H186" s="41">
        <v>24400</v>
      </c>
      <c r="I186" s="41">
        <v>196</v>
      </c>
      <c r="J186" s="41">
        <v>207</v>
      </c>
      <c r="K186" s="46">
        <v>0.63055555555555554</v>
      </c>
      <c r="L186" s="41">
        <v>92</v>
      </c>
      <c r="M186" s="41">
        <v>235</v>
      </c>
      <c r="N186" s="43">
        <f t="shared" si="31"/>
        <v>76</v>
      </c>
      <c r="O186" s="77">
        <f>ImpliedCallVolatility(F186,G186,((D186)/365),B186,I186,C186)</f>
        <v>0.27751922607421875</v>
      </c>
      <c r="P186" s="77">
        <f>ImpliedPutVolatility(F186,H186,((D186)/365),B186,J186,C186)</f>
        <v>0.32634735107421875</v>
      </c>
      <c r="Q186" t="str">
        <f t="shared" si="33"/>
        <v>Buy</v>
      </c>
      <c r="R186">
        <f t="shared" si="34"/>
        <v>282.09999999999997</v>
      </c>
      <c r="S186">
        <f t="shared" si="35"/>
        <v>25051.1</v>
      </c>
      <c r="T186">
        <f t="shared" si="36"/>
        <v>24486.9</v>
      </c>
      <c r="U186" s="36">
        <v>0.61458333333333337</v>
      </c>
      <c r="V186">
        <v>25074</v>
      </c>
      <c r="AB186">
        <v>24769</v>
      </c>
      <c r="AC186">
        <v>24644</v>
      </c>
      <c r="AE186">
        <f t="shared" si="15"/>
        <v>-125</v>
      </c>
      <c r="AF186">
        <f t="shared" si="37"/>
        <v>2713</v>
      </c>
      <c r="AI186">
        <f t="shared" si="38"/>
        <v>152000</v>
      </c>
      <c r="AJ186">
        <f t="shared" si="39"/>
        <v>-25000</v>
      </c>
      <c r="AL186">
        <f t="shared" si="40"/>
        <v>127000</v>
      </c>
      <c r="AM186">
        <f t="shared" si="41"/>
        <v>4372400</v>
      </c>
    </row>
    <row r="187" spans="1:40">
      <c r="B187" s="63">
        <v>0.1</v>
      </c>
      <c r="C187" s="63">
        <v>0</v>
      </c>
      <c r="D187" s="64">
        <v>4</v>
      </c>
      <c r="E187" s="37">
        <v>43381</v>
      </c>
      <c r="F187">
        <v>24408</v>
      </c>
      <c r="G187">
        <v>24600</v>
      </c>
      <c r="H187">
        <v>24200</v>
      </c>
      <c r="I187">
        <v>191</v>
      </c>
      <c r="J187">
        <v>217</v>
      </c>
      <c r="K187" s="36">
        <v>0.62986111111111109</v>
      </c>
      <c r="L187">
        <v>285</v>
      </c>
      <c r="M187">
        <v>95</v>
      </c>
      <c r="N187" s="43">
        <f t="shared" si="31"/>
        <v>28</v>
      </c>
      <c r="O187" s="77">
        <f>ImpliedCallVolatility(F187,G187,((D187)/365),B187,I187,C187)</f>
        <v>0.25951385498046875</v>
      </c>
      <c r="P187" s="77">
        <f>ImpliedPutVolatility(F187,H187,((D187)/365),B187,J187,C187)</f>
        <v>0.31612396240234375</v>
      </c>
      <c r="Q187" t="str">
        <f t="shared" si="33"/>
        <v>Buy</v>
      </c>
      <c r="R187">
        <f t="shared" si="34"/>
        <v>285.59999999999997</v>
      </c>
      <c r="S187">
        <f t="shared" si="35"/>
        <v>24693.599999999999</v>
      </c>
      <c r="T187">
        <f t="shared" si="36"/>
        <v>24122.400000000001</v>
      </c>
      <c r="U187" s="36">
        <v>0.41666666666666669</v>
      </c>
      <c r="V187">
        <v>24645</v>
      </c>
      <c r="AB187">
        <v>24408</v>
      </c>
      <c r="AC187">
        <v>24716</v>
      </c>
      <c r="AE187">
        <f t="shared" si="15"/>
        <v>308</v>
      </c>
      <c r="AF187">
        <f t="shared" si="37"/>
        <v>3021</v>
      </c>
      <c r="AI187">
        <f t="shared" si="38"/>
        <v>56000</v>
      </c>
      <c r="AJ187">
        <f t="shared" si="39"/>
        <v>61600</v>
      </c>
      <c r="AL187">
        <f t="shared" si="40"/>
        <v>117600</v>
      </c>
      <c r="AM187">
        <f t="shared" si="41"/>
        <v>4490000</v>
      </c>
    </row>
    <row r="188" spans="1:40">
      <c r="B188" s="63">
        <v>0.1</v>
      </c>
      <c r="C188" s="63">
        <v>0</v>
      </c>
      <c r="D188" s="64">
        <v>3</v>
      </c>
      <c r="E188" s="37">
        <v>43382</v>
      </c>
      <c r="F188">
        <v>24612</v>
      </c>
      <c r="G188">
        <v>24700</v>
      </c>
      <c r="H188">
        <v>24500</v>
      </c>
      <c r="I188">
        <v>195</v>
      </c>
      <c r="J188">
        <v>189</v>
      </c>
      <c r="K188" s="36">
        <v>0.63541666666666663</v>
      </c>
      <c r="L188">
        <v>114</v>
      </c>
      <c r="M188">
        <v>222</v>
      </c>
      <c r="N188" s="43">
        <f t="shared" si="31"/>
        <v>48</v>
      </c>
      <c r="O188" s="77">
        <f>ImpliedCallVolatility(F188,G188,((D188)/365),B188,I188,C188)</f>
        <v>0.25493621826171875</v>
      </c>
      <c r="P188" s="77">
        <f>ImpliedPutVolatility(F188,H188,((D188)/365),B188,J188,C188)</f>
        <v>0.28102874755859375</v>
      </c>
      <c r="Q188" t="str">
        <f t="shared" si="33"/>
        <v>Buy</v>
      </c>
      <c r="R188">
        <f t="shared" si="34"/>
        <v>268.79999999999995</v>
      </c>
      <c r="S188">
        <f t="shared" si="35"/>
        <v>24880.799999999999</v>
      </c>
      <c r="T188">
        <f t="shared" si="36"/>
        <v>24343.200000000001</v>
      </c>
      <c r="U188" s="36">
        <v>0.63541666666666663</v>
      </c>
      <c r="V188">
        <v>24520</v>
      </c>
      <c r="AB188">
        <v>24612</v>
      </c>
      <c r="AC188">
        <v>24520</v>
      </c>
      <c r="AE188">
        <f t="shared" si="15"/>
        <v>-92</v>
      </c>
      <c r="AF188">
        <f t="shared" si="37"/>
        <v>2929</v>
      </c>
      <c r="AI188">
        <f t="shared" si="38"/>
        <v>96000</v>
      </c>
      <c r="AJ188">
        <f t="shared" si="39"/>
        <v>-18400</v>
      </c>
      <c r="AL188">
        <f t="shared" si="40"/>
        <v>77600</v>
      </c>
      <c r="AM188">
        <f t="shared" si="41"/>
        <v>4567600</v>
      </c>
    </row>
    <row r="189" spans="1:40">
      <c r="A189" t="s">
        <v>57</v>
      </c>
      <c r="B189" s="63">
        <v>0.1</v>
      </c>
      <c r="C189" s="63">
        <v>0</v>
      </c>
      <c r="D189" s="64">
        <v>2</v>
      </c>
      <c r="E189" s="37">
        <v>43383</v>
      </c>
      <c r="F189">
        <v>24627</v>
      </c>
      <c r="G189">
        <v>24600</v>
      </c>
      <c r="H189">
        <v>24500</v>
      </c>
      <c r="I189">
        <v>164</v>
      </c>
      <c r="J189">
        <v>149</v>
      </c>
      <c r="K189" s="36">
        <v>0.41805555555555557</v>
      </c>
      <c r="L189">
        <v>287</v>
      </c>
      <c r="M189">
        <v>69</v>
      </c>
      <c r="N189" s="43">
        <f t="shared" si="31"/>
        <v>-43</v>
      </c>
      <c r="O189" s="77">
        <f>ImpliedCallVolatility(F189,G189,((D189)/365),B189,I189,C189)</f>
        <v>0.19657135009765625</v>
      </c>
      <c r="P189" s="77">
        <f>ImpliedPutVolatility(F189,H189,((D189)/365),B189,J189,C189)</f>
        <v>0.29216766357421875</v>
      </c>
      <c r="Q189" t="str">
        <f t="shared" si="33"/>
        <v>Buy</v>
      </c>
      <c r="R189">
        <f t="shared" si="34"/>
        <v>219.1</v>
      </c>
      <c r="S189">
        <f t="shared" si="35"/>
        <v>24846.1</v>
      </c>
      <c r="T189">
        <f t="shared" si="36"/>
        <v>24407.9</v>
      </c>
      <c r="U189" s="36">
        <v>0.42708333333333331</v>
      </c>
      <c r="V189">
        <v>24852</v>
      </c>
      <c r="AB189">
        <v>24627</v>
      </c>
      <c r="AC189">
        <v>25288</v>
      </c>
      <c r="AE189">
        <f t="shared" si="15"/>
        <v>661</v>
      </c>
      <c r="AF189">
        <f t="shared" si="37"/>
        <v>3590</v>
      </c>
      <c r="AI189">
        <f t="shared" si="38"/>
        <v>-86000</v>
      </c>
      <c r="AJ189">
        <f t="shared" si="39"/>
        <v>132200</v>
      </c>
      <c r="AL189">
        <f t="shared" si="40"/>
        <v>46200</v>
      </c>
      <c r="AM189">
        <f t="shared" si="41"/>
        <v>4613800</v>
      </c>
    </row>
    <row r="190" spans="1:40" ht="13.5" thickBot="1">
      <c r="A190" t="s">
        <v>58</v>
      </c>
      <c r="B190" s="63">
        <v>0.1</v>
      </c>
      <c r="C190" s="63">
        <v>0</v>
      </c>
      <c r="D190" s="64">
        <v>1</v>
      </c>
      <c r="E190" s="50">
        <v>43384</v>
      </c>
      <c r="F190">
        <v>24593</v>
      </c>
      <c r="G190">
        <v>24700</v>
      </c>
      <c r="H190">
        <v>24500</v>
      </c>
      <c r="I190">
        <v>71</v>
      </c>
      <c r="J190">
        <v>99</v>
      </c>
      <c r="K190" s="36">
        <v>0.40625</v>
      </c>
      <c r="L190">
        <v>73</v>
      </c>
      <c r="M190">
        <v>98</v>
      </c>
      <c r="N190" s="43">
        <f t="shared" si="31"/>
        <v>-1</v>
      </c>
      <c r="O190" s="77">
        <f>ImpliedCallVolatility(F190,G190,((D190)/365),B190,I190,C190)</f>
        <v>0.22190093994140625</v>
      </c>
      <c r="P190" s="77">
        <f>ImpliedPutVolatility(F190,H190,((D190)/365),B190,J190,C190)</f>
        <v>0.27973175048828125</v>
      </c>
      <c r="Q190" t="str">
        <f t="shared" si="33"/>
        <v>Buy</v>
      </c>
      <c r="R190">
        <f t="shared" si="34"/>
        <v>118.99999999999999</v>
      </c>
      <c r="S190">
        <f t="shared" si="35"/>
        <v>24712</v>
      </c>
      <c r="T190">
        <f t="shared" si="36"/>
        <v>24474</v>
      </c>
      <c r="U190" s="36">
        <v>0.5</v>
      </c>
      <c r="V190">
        <v>24810</v>
      </c>
      <c r="AB190">
        <v>24593</v>
      </c>
      <c r="AC190">
        <v>24762</v>
      </c>
      <c r="AE190">
        <f t="shared" si="15"/>
        <v>169</v>
      </c>
      <c r="AF190">
        <f t="shared" si="37"/>
        <v>3759</v>
      </c>
      <c r="AI190">
        <f t="shared" si="38"/>
        <v>-2000</v>
      </c>
      <c r="AJ190">
        <f t="shared" si="39"/>
        <v>33800</v>
      </c>
      <c r="AL190">
        <f t="shared" si="40"/>
        <v>31800</v>
      </c>
      <c r="AM190">
        <f t="shared" si="41"/>
        <v>4645600</v>
      </c>
    </row>
    <row r="191" spans="1:40">
      <c r="B191" s="63">
        <v>0.1</v>
      </c>
      <c r="C191" s="63">
        <v>0</v>
      </c>
      <c r="D191" s="64">
        <v>4</v>
      </c>
      <c r="E191" s="34">
        <v>43385</v>
      </c>
      <c r="F191">
        <v>25212</v>
      </c>
      <c r="G191">
        <v>25300</v>
      </c>
      <c r="H191">
        <v>25100</v>
      </c>
      <c r="I191">
        <v>232</v>
      </c>
      <c r="J191">
        <v>226</v>
      </c>
      <c r="K191" s="36">
        <v>0.63541666666666663</v>
      </c>
      <c r="L191">
        <v>308</v>
      </c>
      <c r="M191">
        <v>181</v>
      </c>
      <c r="N191" s="43">
        <f t="shared" si="31"/>
        <v>-31</v>
      </c>
      <c r="O191" s="77">
        <f>ImpliedCallVolatility(F191,G191,((D191)/365),B191,I191,C191)</f>
        <v>0.24761199951171875</v>
      </c>
      <c r="P191" s="77">
        <f>ImpliedPutVolatility(F191,H191,((D191)/365),B191,J191,C191)</f>
        <v>0.27660369873046875</v>
      </c>
      <c r="Q191" t="str">
        <f t="shared" si="33"/>
        <v>Buy</v>
      </c>
      <c r="R191">
        <f t="shared" si="34"/>
        <v>320.59999999999997</v>
      </c>
      <c r="S191">
        <f t="shared" si="35"/>
        <v>25532.6</v>
      </c>
      <c r="T191">
        <f t="shared" si="36"/>
        <v>24891.4</v>
      </c>
      <c r="U191" s="36">
        <v>0.42708333333333331</v>
      </c>
      <c r="V191">
        <v>25469</v>
      </c>
      <c r="AB191">
        <v>25212</v>
      </c>
      <c r="AC191">
        <v>25399</v>
      </c>
      <c r="AE191">
        <f t="shared" si="15"/>
        <v>187</v>
      </c>
      <c r="AF191">
        <f t="shared" si="37"/>
        <v>3946</v>
      </c>
      <c r="AI191">
        <f t="shared" si="38"/>
        <v>-62000</v>
      </c>
      <c r="AJ191">
        <f t="shared" si="39"/>
        <v>37400</v>
      </c>
      <c r="AL191">
        <f t="shared" si="40"/>
        <v>-24600</v>
      </c>
      <c r="AM191">
        <f t="shared" si="41"/>
        <v>4621000</v>
      </c>
    </row>
    <row r="192" spans="1:40">
      <c r="B192" s="63">
        <v>0.1</v>
      </c>
      <c r="C192" s="63">
        <v>0</v>
      </c>
      <c r="D192" s="64">
        <v>3</v>
      </c>
      <c r="E192" s="37">
        <v>43388</v>
      </c>
      <c r="F192">
        <v>25250</v>
      </c>
      <c r="G192">
        <v>25300</v>
      </c>
      <c r="H192">
        <v>25100</v>
      </c>
      <c r="I192">
        <v>208</v>
      </c>
      <c r="J192">
        <v>202</v>
      </c>
      <c r="K192" s="36">
        <v>0.63541666666666663</v>
      </c>
      <c r="L192">
        <v>241</v>
      </c>
      <c r="M192">
        <v>130</v>
      </c>
      <c r="N192" s="43">
        <f t="shared" si="31"/>
        <v>39</v>
      </c>
      <c r="O192" s="77">
        <f>ImpliedCallVolatility(F192,G192,((D192)/365),B192,I192,C192)</f>
        <v>0.24326324462890625</v>
      </c>
      <c r="P192" s="77">
        <f>ImpliedPutVolatility(F192,H192,((D192)/365),B192,J192,C192)</f>
        <v>0.30658721923828125</v>
      </c>
      <c r="Q192" t="str">
        <f t="shared" si="33"/>
        <v>Buy</v>
      </c>
      <c r="R192">
        <f t="shared" si="34"/>
        <v>287</v>
      </c>
      <c r="S192">
        <f t="shared" si="35"/>
        <v>25537</v>
      </c>
      <c r="T192">
        <f t="shared" si="36"/>
        <v>24963</v>
      </c>
      <c r="U192" s="36">
        <v>0.57291666666666663</v>
      </c>
      <c r="V192">
        <v>25462</v>
      </c>
      <c r="AB192">
        <v>25250</v>
      </c>
      <c r="AC192">
        <v>25376</v>
      </c>
      <c r="AE192">
        <f t="shared" si="15"/>
        <v>126</v>
      </c>
      <c r="AF192">
        <f t="shared" si="37"/>
        <v>4072</v>
      </c>
      <c r="AI192">
        <f t="shared" si="38"/>
        <v>78000</v>
      </c>
      <c r="AJ192">
        <f t="shared" si="39"/>
        <v>25200</v>
      </c>
      <c r="AL192">
        <f t="shared" si="40"/>
        <v>103200</v>
      </c>
      <c r="AM192">
        <f t="shared" si="41"/>
        <v>4724200</v>
      </c>
    </row>
    <row r="193" spans="1:40">
      <c r="A193" t="s">
        <v>57</v>
      </c>
      <c r="B193" s="63">
        <v>0.1</v>
      </c>
      <c r="C193" s="63">
        <v>0</v>
      </c>
      <c r="D193" s="64">
        <v>2</v>
      </c>
      <c r="E193" s="37">
        <v>43389</v>
      </c>
      <c r="F193">
        <v>25564</v>
      </c>
      <c r="G193">
        <v>25600</v>
      </c>
      <c r="H193">
        <v>25600</v>
      </c>
      <c r="I193">
        <v>170</v>
      </c>
      <c r="J193">
        <v>194</v>
      </c>
      <c r="K193" s="36">
        <v>0.63541666666666663</v>
      </c>
      <c r="L193">
        <v>145</v>
      </c>
      <c r="M193">
        <v>128</v>
      </c>
      <c r="N193" s="43">
        <f>(I193+J193)-(L193+M193)</f>
        <v>91</v>
      </c>
      <c r="O193" s="77">
        <f>ImpliedCallVolatility(F193,G193,((D193)/365),B193,I193,C193)</f>
        <v>0.23937225341796875</v>
      </c>
      <c r="P193" s="77">
        <f>ImpliedPutVolatility(F193,H193,((D193)/365),B193,J193,C193)</f>
        <v>0.24204254150390625</v>
      </c>
      <c r="Q193" t="str">
        <f t="shared" si="33"/>
        <v>Buy</v>
      </c>
      <c r="R193">
        <f t="shared" si="34"/>
        <v>254.79999999999998</v>
      </c>
      <c r="S193">
        <f t="shared" si="35"/>
        <v>25818.799999999999</v>
      </c>
      <c r="T193">
        <f t="shared" si="36"/>
        <v>25309.200000000001</v>
      </c>
      <c r="U193" s="36">
        <v>0.63541666666666663</v>
      </c>
      <c r="V193">
        <v>25598</v>
      </c>
      <c r="AB193">
        <v>25564</v>
      </c>
      <c r="AC193">
        <v>25598</v>
      </c>
      <c r="AE193">
        <f t="shared" si="15"/>
        <v>34</v>
      </c>
      <c r="AF193">
        <f t="shared" si="37"/>
        <v>4106</v>
      </c>
      <c r="AI193">
        <f t="shared" si="38"/>
        <v>182000</v>
      </c>
      <c r="AJ193">
        <f t="shared" si="39"/>
        <v>6800</v>
      </c>
      <c r="AL193">
        <f t="shared" si="40"/>
        <v>188800</v>
      </c>
      <c r="AM193">
        <f t="shared" si="41"/>
        <v>4913000</v>
      </c>
    </row>
    <row r="194" spans="1:40" ht="13.5" thickBot="1">
      <c r="A194" t="s">
        <v>58</v>
      </c>
      <c r="B194" s="63">
        <v>0.1</v>
      </c>
      <c r="C194" s="63">
        <v>0</v>
      </c>
      <c r="D194" s="64">
        <v>1</v>
      </c>
      <c r="E194" s="50">
        <v>43390</v>
      </c>
      <c r="F194">
        <v>25819</v>
      </c>
      <c r="G194">
        <v>25800</v>
      </c>
      <c r="H194">
        <v>25800</v>
      </c>
      <c r="I194">
        <v>95</v>
      </c>
      <c r="J194">
        <v>87</v>
      </c>
      <c r="K194" s="36">
        <v>0.41666666666666669</v>
      </c>
      <c r="L194">
        <v>34</v>
      </c>
      <c r="M194">
        <v>158</v>
      </c>
      <c r="N194" s="43">
        <f t="shared" si="31"/>
        <v>-10</v>
      </c>
      <c r="O194" s="77">
        <f>ImpliedCallVolatility(F194,G194,((D194)/365),B194,I194,C194)</f>
        <v>0.15087127685546875</v>
      </c>
      <c r="P194" s="77">
        <f>ImpliedPutVolatility(F194,H194,((D194)/365),B194,J194,C194)</f>
        <v>0.18459320068359375</v>
      </c>
      <c r="Q194" t="str">
        <f t="shared" si="33"/>
        <v>Buy</v>
      </c>
      <c r="R194">
        <f t="shared" si="34"/>
        <v>127.39999999999999</v>
      </c>
      <c r="S194">
        <f t="shared" si="35"/>
        <v>25946.400000000001</v>
      </c>
      <c r="T194">
        <f t="shared" si="36"/>
        <v>25691.599999999999</v>
      </c>
      <c r="U194" s="36">
        <v>0.46875</v>
      </c>
      <c r="V194">
        <v>25612</v>
      </c>
      <c r="AB194">
        <v>25819</v>
      </c>
      <c r="AC194">
        <v>25619</v>
      </c>
      <c r="AE194">
        <f t="shared" si="15"/>
        <v>-200</v>
      </c>
      <c r="AF194">
        <f t="shared" si="37"/>
        <v>3906</v>
      </c>
      <c r="AI194">
        <f t="shared" si="38"/>
        <v>-20000</v>
      </c>
      <c r="AJ194">
        <f t="shared" si="39"/>
        <v>-40000</v>
      </c>
      <c r="AL194">
        <f t="shared" si="40"/>
        <v>-60000</v>
      </c>
      <c r="AM194">
        <f t="shared" si="41"/>
        <v>4853000</v>
      </c>
    </row>
    <row r="195" spans="1:40">
      <c r="B195" s="63">
        <v>0.1</v>
      </c>
      <c r="C195" s="63">
        <v>0</v>
      </c>
      <c r="D195" s="64">
        <v>5</v>
      </c>
      <c r="E195" s="34">
        <v>43392</v>
      </c>
      <c r="F195">
        <v>25190</v>
      </c>
      <c r="G195">
        <v>25200</v>
      </c>
      <c r="H195">
        <v>25200</v>
      </c>
      <c r="I195">
        <v>285</v>
      </c>
      <c r="J195">
        <v>298</v>
      </c>
      <c r="K195" s="36">
        <v>0.63541666666666663</v>
      </c>
      <c r="L195">
        <v>211</v>
      </c>
      <c r="M195">
        <v>347</v>
      </c>
      <c r="N195" s="43">
        <f t="shared" ref="N195:N229" si="42">(I195+J195)-(L195+M195)</f>
        <v>25</v>
      </c>
      <c r="O195" s="77">
        <f>ImpliedCallVolatility(F195,G195,((D195)/365),B195,I195,C195)</f>
        <v>0.23189544677734375</v>
      </c>
      <c r="P195" s="77">
        <f>ImpliedPutVolatility(F195,H195,((D195)/365),B195,J195,C195)</f>
        <v>0.26378631591796875</v>
      </c>
      <c r="Q195" t="str">
        <f t="shared" si="33"/>
        <v>Buy</v>
      </c>
      <c r="R195">
        <f t="shared" si="34"/>
        <v>408.09999999999997</v>
      </c>
      <c r="S195">
        <f t="shared" si="35"/>
        <v>25598.1</v>
      </c>
      <c r="T195">
        <f t="shared" si="36"/>
        <v>24781.9</v>
      </c>
      <c r="U195" s="36">
        <v>0.45833333333333331</v>
      </c>
      <c r="V195">
        <v>24948</v>
      </c>
      <c r="AB195">
        <v>25190</v>
      </c>
      <c r="AC195">
        <v>24990</v>
      </c>
      <c r="AE195">
        <f t="shared" si="15"/>
        <v>-200</v>
      </c>
      <c r="AF195">
        <f t="shared" si="37"/>
        <v>3706</v>
      </c>
      <c r="AI195">
        <f t="shared" si="38"/>
        <v>50000</v>
      </c>
      <c r="AJ195">
        <f t="shared" si="39"/>
        <v>-40000</v>
      </c>
      <c r="AL195">
        <f t="shared" si="40"/>
        <v>10000</v>
      </c>
      <c r="AM195">
        <f t="shared" si="41"/>
        <v>4863000</v>
      </c>
    </row>
    <row r="196" spans="1:40">
      <c r="B196" s="63">
        <v>0.1</v>
      </c>
      <c r="C196" s="63">
        <v>0</v>
      </c>
      <c r="D196" s="64">
        <v>4</v>
      </c>
      <c r="E196" s="37">
        <v>43395</v>
      </c>
      <c r="F196">
        <v>25236</v>
      </c>
      <c r="G196">
        <v>25300</v>
      </c>
      <c r="H196">
        <v>25100</v>
      </c>
      <c r="I196">
        <v>214</v>
      </c>
      <c r="J196">
        <v>201</v>
      </c>
      <c r="K196" s="36">
        <v>0.63541666666666663</v>
      </c>
      <c r="L196">
        <v>103</v>
      </c>
      <c r="M196">
        <v>279</v>
      </c>
      <c r="N196" s="43">
        <f t="shared" si="42"/>
        <v>33</v>
      </c>
      <c r="O196" s="77">
        <f>ImpliedCallVolatility(F196,G196,((D196)/365),B196,I196,C196)</f>
        <v>0.21968841552734375</v>
      </c>
      <c r="P196" s="77">
        <f>ImpliedPutVolatility(F196,H196,((D196)/365),B196,J196,C196)</f>
        <v>0.26180267333984375</v>
      </c>
      <c r="Q196" t="str">
        <f t="shared" ref="Q196:Q259" si="43">IF(P196&gt;O196,"Buy","Sell")</f>
        <v>Buy</v>
      </c>
      <c r="R196">
        <f t="shared" ref="R196:R259" si="44">(I196+J196)*0.7</f>
        <v>290.5</v>
      </c>
      <c r="S196">
        <f t="shared" ref="S196:S259" si="45">F196+R196</f>
        <v>25526.5</v>
      </c>
      <c r="T196">
        <f t="shared" ref="T196:T259" si="46">F196-R196</f>
        <v>24945.5</v>
      </c>
      <c r="U196" s="36">
        <v>0.51041666666666663</v>
      </c>
      <c r="V196">
        <v>25447</v>
      </c>
      <c r="AB196">
        <v>25236</v>
      </c>
      <c r="AC196">
        <v>25187</v>
      </c>
      <c r="AE196">
        <f t="shared" si="15"/>
        <v>-49</v>
      </c>
      <c r="AF196">
        <f t="shared" ref="AF196:AF259" si="47">AF195+AE196</f>
        <v>3657</v>
      </c>
      <c r="AI196">
        <f t="shared" si="38"/>
        <v>66000</v>
      </c>
      <c r="AJ196">
        <f t="shared" si="39"/>
        <v>-9800</v>
      </c>
      <c r="AL196">
        <f t="shared" si="40"/>
        <v>56200</v>
      </c>
      <c r="AM196">
        <f t="shared" si="41"/>
        <v>4919200</v>
      </c>
    </row>
    <row r="197" spans="1:40">
      <c r="B197" s="63">
        <v>0.1</v>
      </c>
      <c r="C197" s="63">
        <v>0</v>
      </c>
      <c r="D197" s="64">
        <v>3</v>
      </c>
      <c r="E197" s="37">
        <v>43396</v>
      </c>
      <c r="F197">
        <v>24919</v>
      </c>
      <c r="G197">
        <v>24900</v>
      </c>
      <c r="H197">
        <v>24900</v>
      </c>
      <c r="I197">
        <v>235</v>
      </c>
      <c r="J197">
        <v>232</v>
      </c>
      <c r="K197" s="36">
        <v>0.63541666666666663</v>
      </c>
      <c r="L197">
        <v>233</v>
      </c>
      <c r="M197">
        <v>175</v>
      </c>
      <c r="N197" s="43">
        <f t="shared" si="42"/>
        <v>59</v>
      </c>
      <c r="O197" s="77">
        <f>ImpliedCallVolatility(F197,G197,((D197)/365),B197,I197,C197)</f>
        <v>0.23838043212890625</v>
      </c>
      <c r="P197" s="77">
        <f>ImpliedPutVolatility(F197,H197,((D197)/365),B197,J197,C197)</f>
        <v>0.27896881103515625</v>
      </c>
      <c r="Q197" t="str">
        <f t="shared" si="43"/>
        <v>Buy</v>
      </c>
      <c r="R197">
        <f t="shared" si="44"/>
        <v>326.89999999999998</v>
      </c>
      <c r="S197">
        <f t="shared" si="45"/>
        <v>25245.9</v>
      </c>
      <c r="T197">
        <f t="shared" si="46"/>
        <v>24592.1</v>
      </c>
      <c r="U197" s="36">
        <v>0.4375</v>
      </c>
      <c r="V197">
        <v>25122</v>
      </c>
      <c r="AB197">
        <v>24919</v>
      </c>
      <c r="AC197">
        <v>24956</v>
      </c>
      <c r="AE197">
        <f t="shared" si="15"/>
        <v>37</v>
      </c>
      <c r="AF197">
        <f t="shared" si="47"/>
        <v>3694</v>
      </c>
      <c r="AI197">
        <f t="shared" si="38"/>
        <v>118000</v>
      </c>
      <c r="AJ197">
        <f t="shared" si="39"/>
        <v>7400</v>
      </c>
      <c r="AL197">
        <f t="shared" si="40"/>
        <v>125400</v>
      </c>
      <c r="AM197">
        <f t="shared" si="41"/>
        <v>5044600</v>
      </c>
    </row>
    <row r="198" spans="1:40">
      <c r="A198" t="s">
        <v>57</v>
      </c>
      <c r="B198" s="63">
        <v>0.1</v>
      </c>
      <c r="C198" s="63">
        <v>0</v>
      </c>
      <c r="D198" s="64">
        <v>2</v>
      </c>
      <c r="E198" s="37">
        <v>43397</v>
      </c>
      <c r="F198">
        <v>25225</v>
      </c>
      <c r="G198">
        <v>25200</v>
      </c>
      <c r="H198">
        <v>25200</v>
      </c>
      <c r="I198">
        <v>173</v>
      </c>
      <c r="J198">
        <v>153</v>
      </c>
      <c r="K198" s="36">
        <v>0.58333333333333337</v>
      </c>
      <c r="L198">
        <v>73</v>
      </c>
      <c r="M198">
        <v>275</v>
      </c>
      <c r="N198" s="43">
        <f t="shared" si="42"/>
        <v>-22</v>
      </c>
      <c r="O198" s="77">
        <f>ImpliedCallVolatility(F198,G198,((D198)/365),B198,I198,C198)</f>
        <v>0.20526885986328125</v>
      </c>
      <c r="P198" s="77">
        <f>ImpliedPutVolatility(F198,H198,((D198)/365),B198,J198,C198)</f>
        <v>0.23067474365234375</v>
      </c>
      <c r="Q198" t="str">
        <f t="shared" si="43"/>
        <v>Buy</v>
      </c>
      <c r="R198">
        <f t="shared" si="44"/>
        <v>228.2</v>
      </c>
      <c r="S198">
        <f t="shared" si="45"/>
        <v>25453.200000000001</v>
      </c>
      <c r="T198">
        <f t="shared" si="46"/>
        <v>24996.799999999999</v>
      </c>
      <c r="U198" s="36">
        <v>0.58333333333333337</v>
      </c>
      <c r="V198">
        <v>24966</v>
      </c>
      <c r="AB198">
        <v>25225</v>
      </c>
      <c r="AC198">
        <v>25025</v>
      </c>
      <c r="AE198">
        <f t="shared" si="15"/>
        <v>-200</v>
      </c>
      <c r="AF198">
        <f t="shared" si="47"/>
        <v>3494</v>
      </c>
      <c r="AI198">
        <f t="shared" si="38"/>
        <v>-44000</v>
      </c>
      <c r="AJ198">
        <f t="shared" si="39"/>
        <v>-40000</v>
      </c>
      <c r="AL198">
        <f t="shared" si="40"/>
        <v>-84000</v>
      </c>
      <c r="AM198">
        <f t="shared" si="41"/>
        <v>4960600</v>
      </c>
    </row>
    <row r="199" spans="1:40" ht="13.5" thickBot="1">
      <c r="A199" t="s">
        <v>58</v>
      </c>
      <c r="B199" s="63">
        <v>0.1</v>
      </c>
      <c r="C199" s="63">
        <v>0</v>
      </c>
      <c r="D199" s="64">
        <v>1</v>
      </c>
      <c r="E199" s="50">
        <v>43398</v>
      </c>
      <c r="F199">
        <v>24918</v>
      </c>
      <c r="G199">
        <v>25000</v>
      </c>
      <c r="H199">
        <v>24900</v>
      </c>
      <c r="I199">
        <v>99</v>
      </c>
      <c r="J199">
        <v>105</v>
      </c>
      <c r="K199" s="36">
        <v>0.44375000000000003</v>
      </c>
      <c r="L199">
        <v>46</v>
      </c>
      <c r="M199">
        <v>173</v>
      </c>
      <c r="N199" s="43">
        <f t="shared" si="42"/>
        <v>-15</v>
      </c>
      <c r="O199" s="77">
        <f>ImpliedCallVolatility(F199,G199,((D199)/365),B199,I199,C199)</f>
        <v>0.25562286376953125</v>
      </c>
      <c r="P199" s="77">
        <f>ImpliedPutVolatility(F199,H199,((D199)/365),B199,J199,C199)</f>
        <v>0.22495269775390625</v>
      </c>
      <c r="Q199" t="str">
        <f t="shared" si="43"/>
        <v>Sell</v>
      </c>
      <c r="R199">
        <f t="shared" si="44"/>
        <v>142.79999999999998</v>
      </c>
      <c r="S199">
        <f t="shared" si="45"/>
        <v>25060.799999999999</v>
      </c>
      <c r="T199">
        <f t="shared" si="46"/>
        <v>24775.200000000001</v>
      </c>
      <c r="U199" s="36">
        <v>0.53125</v>
      </c>
      <c r="V199">
        <v>24700</v>
      </c>
      <c r="AB199">
        <v>24815</v>
      </c>
      <c r="AC199">
        <v>24917</v>
      </c>
      <c r="AE199">
        <f t="shared" si="15"/>
        <v>102</v>
      </c>
      <c r="AF199">
        <f t="shared" si="47"/>
        <v>3596</v>
      </c>
      <c r="AI199">
        <f t="shared" si="38"/>
        <v>-30000</v>
      </c>
      <c r="AJ199">
        <f t="shared" si="39"/>
        <v>20400</v>
      </c>
      <c r="AL199">
        <f t="shared" si="40"/>
        <v>-9600</v>
      </c>
      <c r="AM199">
        <f t="shared" si="41"/>
        <v>4951000</v>
      </c>
    </row>
    <row r="200" spans="1:40">
      <c r="B200" s="63">
        <v>0.1</v>
      </c>
      <c r="C200" s="63">
        <v>0</v>
      </c>
      <c r="D200" s="64">
        <v>5</v>
      </c>
      <c r="E200" s="34">
        <v>43399</v>
      </c>
      <c r="F200">
        <v>24628</v>
      </c>
      <c r="G200">
        <v>24800</v>
      </c>
      <c r="H200">
        <v>24500</v>
      </c>
      <c r="I200">
        <v>223</v>
      </c>
      <c r="J200">
        <v>218</v>
      </c>
      <c r="K200" s="36">
        <v>0.63541666666666663</v>
      </c>
      <c r="L200">
        <v>143</v>
      </c>
      <c r="M200">
        <v>293</v>
      </c>
      <c r="N200" s="43">
        <f t="shared" si="42"/>
        <v>5</v>
      </c>
      <c r="O200" s="77">
        <f>ImpliedCallVolatility(F200,G200,((D200)/365),B200,I200,C200)</f>
        <v>0.24868011474609375</v>
      </c>
      <c r="P200" s="77">
        <f>ImpliedPutVolatility(F200,H200,((D200)/365),B200,J200,C200)</f>
        <v>0.25447845458984375</v>
      </c>
      <c r="Q200" t="str">
        <f t="shared" si="43"/>
        <v>Buy</v>
      </c>
      <c r="R200">
        <f t="shared" si="44"/>
        <v>308.7</v>
      </c>
      <c r="S200">
        <f t="shared" si="45"/>
        <v>24936.7</v>
      </c>
      <c r="T200">
        <f t="shared" si="46"/>
        <v>24319.3</v>
      </c>
      <c r="U200" s="36">
        <v>0.63541666666666663</v>
      </c>
      <c r="V200">
        <v>24419</v>
      </c>
      <c r="AB200">
        <v>24628</v>
      </c>
      <c r="AC200">
        <v>24456</v>
      </c>
      <c r="AE200">
        <f t="shared" si="15"/>
        <v>-172</v>
      </c>
      <c r="AF200">
        <f t="shared" si="47"/>
        <v>3424</v>
      </c>
      <c r="AI200">
        <f t="shared" si="38"/>
        <v>10000</v>
      </c>
      <c r="AJ200">
        <f t="shared" si="39"/>
        <v>-34400</v>
      </c>
      <c r="AL200">
        <f t="shared" si="40"/>
        <v>-24400</v>
      </c>
      <c r="AM200">
        <f t="shared" si="41"/>
        <v>4926600</v>
      </c>
    </row>
    <row r="201" spans="1:40">
      <c r="B201" s="63">
        <v>0.1</v>
      </c>
      <c r="C201" s="63">
        <v>0</v>
      </c>
      <c r="D201" s="64">
        <v>4</v>
      </c>
      <c r="E201" s="37">
        <v>43402</v>
      </c>
      <c r="F201">
        <v>24484</v>
      </c>
      <c r="G201">
        <v>24600</v>
      </c>
      <c r="H201">
        <v>24400</v>
      </c>
      <c r="I201">
        <v>201</v>
      </c>
      <c r="J201">
        <v>221</v>
      </c>
      <c r="K201" s="36">
        <v>0.53819444444444442</v>
      </c>
      <c r="L201">
        <v>326</v>
      </c>
      <c r="M201">
        <v>107</v>
      </c>
      <c r="N201" s="43">
        <f t="shared" si="42"/>
        <v>-11</v>
      </c>
      <c r="O201" s="77">
        <f>ImpliedCallVolatility(F201,G201,((D201)/365),B201,I201,C201)</f>
        <v>0.23715972900390625</v>
      </c>
      <c r="P201" s="77">
        <f>ImpliedPutVolatility(F201,H201,((D201)/365),B201,J201,C201)</f>
        <v>0.26737213134765625</v>
      </c>
      <c r="Q201" t="str">
        <f t="shared" si="43"/>
        <v>Buy</v>
      </c>
      <c r="R201">
        <f t="shared" si="44"/>
        <v>295.39999999999998</v>
      </c>
      <c r="S201">
        <f t="shared" si="45"/>
        <v>24779.4</v>
      </c>
      <c r="T201">
        <f t="shared" si="46"/>
        <v>24188.6</v>
      </c>
      <c r="U201" s="36">
        <v>0.51041666666666663</v>
      </c>
      <c r="V201">
        <v>24698</v>
      </c>
      <c r="AB201">
        <v>24483</v>
      </c>
      <c r="AC201">
        <v>24964</v>
      </c>
      <c r="AE201">
        <f t="shared" si="15"/>
        <v>481</v>
      </c>
      <c r="AF201">
        <f t="shared" si="47"/>
        <v>3905</v>
      </c>
      <c r="AI201">
        <f t="shared" si="38"/>
        <v>-22000</v>
      </c>
      <c r="AJ201">
        <f t="shared" si="39"/>
        <v>96200</v>
      </c>
      <c r="AL201">
        <f t="shared" si="40"/>
        <v>74200</v>
      </c>
      <c r="AM201">
        <f t="shared" si="41"/>
        <v>5000800</v>
      </c>
    </row>
    <row r="202" spans="1:40">
      <c r="B202" s="63">
        <v>0.1</v>
      </c>
      <c r="C202" s="63">
        <v>0</v>
      </c>
      <c r="D202" s="64">
        <v>3</v>
      </c>
      <c r="E202" s="37">
        <v>43403</v>
      </c>
      <c r="F202">
        <v>25078</v>
      </c>
      <c r="G202">
        <v>25100</v>
      </c>
      <c r="H202">
        <v>25000</v>
      </c>
      <c r="I202">
        <v>181</v>
      </c>
      <c r="J202">
        <v>177</v>
      </c>
      <c r="K202" s="36">
        <v>0.60416666666666663</v>
      </c>
      <c r="L202">
        <v>86</v>
      </c>
      <c r="M202">
        <v>320</v>
      </c>
      <c r="N202" s="43">
        <f t="shared" si="42"/>
        <v>-48</v>
      </c>
      <c r="O202" s="77">
        <f>ImpliedCallVolatility(F202,G202,((D202)/365),B202,I202,C202)</f>
        <v>0.20030975341796875</v>
      </c>
      <c r="P202" s="77">
        <f>ImpliedPutVolatility(F202,H202,((D202)/365),B202,J202,C202)</f>
        <v>0.24616241455078125</v>
      </c>
      <c r="Q202" t="str">
        <f t="shared" si="43"/>
        <v>Buy</v>
      </c>
      <c r="R202">
        <f t="shared" si="44"/>
        <v>250.6</v>
      </c>
      <c r="S202">
        <f t="shared" si="45"/>
        <v>25328.6</v>
      </c>
      <c r="T202">
        <f t="shared" si="46"/>
        <v>24827.4</v>
      </c>
      <c r="U202" s="36">
        <v>0.48958333333333331</v>
      </c>
      <c r="V202">
        <v>24842</v>
      </c>
      <c r="AB202">
        <v>25079</v>
      </c>
      <c r="AC202">
        <v>24879</v>
      </c>
      <c r="AE202">
        <f t="shared" si="15"/>
        <v>-200</v>
      </c>
      <c r="AF202">
        <f t="shared" si="47"/>
        <v>3705</v>
      </c>
      <c r="AI202">
        <f t="shared" si="38"/>
        <v>-96000</v>
      </c>
      <c r="AJ202">
        <f t="shared" si="39"/>
        <v>-40000</v>
      </c>
      <c r="AL202">
        <f t="shared" si="40"/>
        <v>-136000</v>
      </c>
      <c r="AM202">
        <f t="shared" si="41"/>
        <v>4864800</v>
      </c>
    </row>
    <row r="203" spans="1:40">
      <c r="A203" t="s">
        <v>57</v>
      </c>
      <c r="B203" s="63">
        <v>0.1</v>
      </c>
      <c r="C203" s="63">
        <v>0</v>
      </c>
      <c r="D203" s="64">
        <v>2</v>
      </c>
      <c r="E203" s="37">
        <v>43404</v>
      </c>
      <c r="F203">
        <v>24839</v>
      </c>
      <c r="G203">
        <v>24900</v>
      </c>
      <c r="H203">
        <v>24800</v>
      </c>
      <c r="I203">
        <v>157</v>
      </c>
      <c r="J203">
        <v>177</v>
      </c>
      <c r="K203" s="36">
        <v>0.41319444444444442</v>
      </c>
      <c r="L203">
        <v>95</v>
      </c>
      <c r="M203">
        <v>301</v>
      </c>
      <c r="N203" s="43">
        <f t="shared" si="42"/>
        <v>-62</v>
      </c>
      <c r="O203" s="77">
        <f>ImpliedCallVolatility(F203,G203,((D203)/365),B203,I203,C203)</f>
        <v>0.24471282958984375</v>
      </c>
      <c r="P203" s="77">
        <f>ImpliedPutVolatility(F203,H203,((D203)/365),B203,J203,C203)</f>
        <v>0.27599334716796875</v>
      </c>
      <c r="Q203" t="str">
        <f t="shared" si="43"/>
        <v>Buy</v>
      </c>
      <c r="R203">
        <f t="shared" si="44"/>
        <v>233.79999999999998</v>
      </c>
      <c r="S203">
        <f t="shared" si="45"/>
        <v>25072.799999999999</v>
      </c>
      <c r="T203">
        <f t="shared" si="46"/>
        <v>24605.200000000001</v>
      </c>
      <c r="U203" s="36">
        <v>0.41666666666666669</v>
      </c>
      <c r="V203">
        <v>24573</v>
      </c>
      <c r="X203" t="s">
        <v>70</v>
      </c>
      <c r="Y203" s="72">
        <f>SUM(N183:N203)</f>
        <v>233</v>
      </c>
      <c r="AB203">
        <v>24839</v>
      </c>
      <c r="AC203">
        <v>24639</v>
      </c>
      <c r="AE203">
        <f t="shared" si="15"/>
        <v>-200</v>
      </c>
      <c r="AF203">
        <f t="shared" si="47"/>
        <v>3505</v>
      </c>
      <c r="AG203">
        <f>SUM(AE183:AE203)</f>
        <v>848</v>
      </c>
      <c r="AI203">
        <f t="shared" si="38"/>
        <v>-124000</v>
      </c>
      <c r="AJ203">
        <f t="shared" si="39"/>
        <v>-40000</v>
      </c>
      <c r="AL203">
        <f t="shared" si="40"/>
        <v>-164000</v>
      </c>
      <c r="AM203">
        <f t="shared" si="41"/>
        <v>4700800</v>
      </c>
      <c r="AN203">
        <f>AM203-AM182</f>
        <v>635600</v>
      </c>
    </row>
    <row r="204" spans="1:40" ht="13.5" thickBot="1">
      <c r="A204" t="s">
        <v>58</v>
      </c>
      <c r="B204" s="63">
        <v>0.1</v>
      </c>
      <c r="C204" s="63">
        <v>0</v>
      </c>
      <c r="D204" s="64">
        <v>1</v>
      </c>
      <c r="E204" s="50">
        <v>43405</v>
      </c>
      <c r="F204">
        <v>25167</v>
      </c>
      <c r="G204">
        <v>25200</v>
      </c>
      <c r="H204">
        <v>25200</v>
      </c>
      <c r="I204">
        <v>92</v>
      </c>
      <c r="J204">
        <v>104</v>
      </c>
      <c r="K204" s="36">
        <v>0.57638888888888895</v>
      </c>
      <c r="L204">
        <v>181</v>
      </c>
      <c r="M204">
        <v>8</v>
      </c>
      <c r="N204" s="43">
        <f t="shared" si="42"/>
        <v>7</v>
      </c>
      <c r="O204" s="77">
        <f>ImpliedCallVolatility(F204,G204,((D204)/365),B204,I204,C204)</f>
        <v>0.19878387451171875</v>
      </c>
      <c r="P204" s="77">
        <f>ImpliedPutVolatility(F204,H204,((D204)/365),B204,J204,C204)</f>
        <v>0.17185211181640625</v>
      </c>
      <c r="Q204" t="str">
        <f t="shared" si="43"/>
        <v>Sell</v>
      </c>
      <c r="R204">
        <f t="shared" si="44"/>
        <v>137.19999999999999</v>
      </c>
      <c r="S204">
        <f t="shared" si="45"/>
        <v>25304.2</v>
      </c>
      <c r="T204">
        <f t="shared" si="46"/>
        <v>25029.8</v>
      </c>
      <c r="U204" s="36">
        <v>0.5625</v>
      </c>
      <c r="V204">
        <v>25383</v>
      </c>
      <c r="AB204">
        <v>25367</v>
      </c>
      <c r="AC204">
        <v>25167</v>
      </c>
      <c r="AE204">
        <f t="shared" si="15"/>
        <v>-200</v>
      </c>
      <c r="AF204">
        <f t="shared" si="47"/>
        <v>3305</v>
      </c>
      <c r="AI204">
        <f t="shared" si="38"/>
        <v>14000</v>
      </c>
      <c r="AJ204">
        <f t="shared" si="39"/>
        <v>-40000</v>
      </c>
      <c r="AL204">
        <f t="shared" si="40"/>
        <v>-26000</v>
      </c>
      <c r="AM204">
        <f t="shared" si="41"/>
        <v>4674800</v>
      </c>
    </row>
    <row r="205" spans="1:40">
      <c r="B205" s="63">
        <v>0.1</v>
      </c>
      <c r="C205" s="63">
        <v>0</v>
      </c>
      <c r="D205" s="64">
        <v>4</v>
      </c>
      <c r="E205" s="34">
        <v>43406</v>
      </c>
      <c r="F205">
        <v>25589</v>
      </c>
      <c r="G205">
        <v>25600</v>
      </c>
      <c r="H205">
        <v>25600</v>
      </c>
      <c r="I205">
        <v>193</v>
      </c>
      <c r="J205">
        <v>199</v>
      </c>
      <c r="K205" s="36">
        <v>0.63541666666666663</v>
      </c>
      <c r="L205">
        <v>211</v>
      </c>
      <c r="M205">
        <v>139</v>
      </c>
      <c r="N205" s="43">
        <f t="shared" si="42"/>
        <v>42</v>
      </c>
      <c r="O205" s="77">
        <f>ImpliedCallVolatility(F205,G205,((D205)/365),B205,I205,C205)</f>
        <v>0.17253875732421875</v>
      </c>
      <c r="P205" s="77">
        <f>ImpliedPutVolatility(F205,H205,((D205)/365),B205,J205,C205)</f>
        <v>0.19412994384765625</v>
      </c>
      <c r="Q205" t="str">
        <f t="shared" si="43"/>
        <v>Buy</v>
      </c>
      <c r="R205">
        <f t="shared" si="44"/>
        <v>274.39999999999998</v>
      </c>
      <c r="S205">
        <f t="shared" si="45"/>
        <v>25863.4</v>
      </c>
      <c r="T205">
        <f t="shared" si="46"/>
        <v>25314.6</v>
      </c>
      <c r="U205" s="36">
        <v>0.5625</v>
      </c>
      <c r="V205">
        <v>25783</v>
      </c>
      <c r="AB205">
        <v>25588</v>
      </c>
      <c r="AC205">
        <v>25709</v>
      </c>
      <c r="AE205">
        <f t="shared" si="15"/>
        <v>121</v>
      </c>
      <c r="AF205">
        <f t="shared" si="47"/>
        <v>3426</v>
      </c>
      <c r="AI205">
        <f t="shared" si="38"/>
        <v>84000</v>
      </c>
      <c r="AJ205">
        <f t="shared" si="39"/>
        <v>24200</v>
      </c>
      <c r="AL205">
        <f t="shared" si="40"/>
        <v>108200</v>
      </c>
      <c r="AM205">
        <f t="shared" si="41"/>
        <v>4783000</v>
      </c>
    </row>
    <row r="206" spans="1:40">
      <c r="B206" s="63">
        <v>0.1</v>
      </c>
      <c r="C206" s="63">
        <v>0</v>
      </c>
      <c r="D206" s="64">
        <v>3</v>
      </c>
      <c r="E206" s="37">
        <v>43409</v>
      </c>
      <c r="F206">
        <v>25596</v>
      </c>
      <c r="G206">
        <v>25600</v>
      </c>
      <c r="H206">
        <v>25500</v>
      </c>
      <c r="I206">
        <v>119</v>
      </c>
      <c r="J206">
        <v>119</v>
      </c>
      <c r="K206" s="36">
        <v>0.63541666666666663</v>
      </c>
      <c r="L206">
        <v>188</v>
      </c>
      <c r="M206">
        <v>33</v>
      </c>
      <c r="N206" s="43">
        <f t="shared" si="42"/>
        <v>17</v>
      </c>
      <c r="O206" s="77">
        <f>ImpliedCallVolatility(F206,G206,((D206)/365),B206,I206,C206)</f>
        <v>0.11913299560546875</v>
      </c>
      <c r="P206" s="77">
        <f>ImpliedPutVolatility(F206,H206,((D206)/365),B206,J206,C206)</f>
        <v>0.18527984619140625</v>
      </c>
      <c r="Q206" t="str">
        <f t="shared" si="43"/>
        <v>Buy</v>
      </c>
      <c r="R206">
        <f t="shared" si="44"/>
        <v>166.6</v>
      </c>
      <c r="S206">
        <f t="shared" si="45"/>
        <v>25762.6</v>
      </c>
      <c r="T206">
        <f t="shared" si="46"/>
        <v>25429.4</v>
      </c>
      <c r="U206" s="36">
        <v>0.63541666666666663</v>
      </c>
      <c r="V206">
        <v>25689</v>
      </c>
      <c r="AB206">
        <v>25596</v>
      </c>
      <c r="AC206">
        <v>25688</v>
      </c>
      <c r="AE206">
        <f t="shared" si="15"/>
        <v>92</v>
      </c>
      <c r="AF206">
        <f t="shared" si="47"/>
        <v>3518</v>
      </c>
      <c r="AI206">
        <f t="shared" si="38"/>
        <v>34000</v>
      </c>
      <c r="AJ206">
        <f t="shared" si="39"/>
        <v>18400</v>
      </c>
      <c r="AL206">
        <f t="shared" si="40"/>
        <v>52400</v>
      </c>
      <c r="AM206">
        <f t="shared" si="41"/>
        <v>4835400</v>
      </c>
    </row>
    <row r="207" spans="1:40">
      <c r="A207" t="s">
        <v>57</v>
      </c>
      <c r="B207" s="63">
        <v>0.1</v>
      </c>
      <c r="C207" s="63">
        <v>0</v>
      </c>
      <c r="D207" s="64">
        <v>2</v>
      </c>
      <c r="E207" s="37">
        <v>43410</v>
      </c>
      <c r="F207">
        <v>25804</v>
      </c>
      <c r="G207">
        <v>25900</v>
      </c>
      <c r="H207">
        <v>25800</v>
      </c>
      <c r="I207">
        <v>48</v>
      </c>
      <c r="J207">
        <v>51</v>
      </c>
      <c r="K207" s="36">
        <v>0.57638888888888895</v>
      </c>
      <c r="L207">
        <v>3</v>
      </c>
      <c r="M207">
        <v>98</v>
      </c>
      <c r="N207" s="43">
        <f t="shared" si="42"/>
        <v>-2</v>
      </c>
      <c r="O207" s="77">
        <f>ImpliedCallVolatility(F207,G207,((D207)/365),B207,I207,C207)</f>
        <v>0.10814666748046875</v>
      </c>
      <c r="P207" s="77">
        <f>ImpliedPutVolatility(F207,H207,((D207)/365),B207,J207,C207)</f>
        <v>7.831573486328125E-2</v>
      </c>
      <c r="Q207" t="str">
        <f t="shared" si="43"/>
        <v>Sell</v>
      </c>
      <c r="R207">
        <f t="shared" si="44"/>
        <v>69.3</v>
      </c>
      <c r="S207">
        <f t="shared" si="45"/>
        <v>25873.3</v>
      </c>
      <c r="T207">
        <f t="shared" si="46"/>
        <v>25734.7</v>
      </c>
      <c r="U207" s="36">
        <v>0.58333333333333337</v>
      </c>
      <c r="V207">
        <v>25568</v>
      </c>
      <c r="AB207">
        <v>25602</v>
      </c>
      <c r="AC207">
        <v>25804</v>
      </c>
      <c r="AE207">
        <f t="shared" si="15"/>
        <v>202</v>
      </c>
      <c r="AF207">
        <f t="shared" si="47"/>
        <v>3720</v>
      </c>
      <c r="AI207">
        <f t="shared" si="38"/>
        <v>-4000</v>
      </c>
      <c r="AJ207">
        <f t="shared" si="39"/>
        <v>40400</v>
      </c>
      <c r="AL207">
        <f t="shared" si="40"/>
        <v>36400</v>
      </c>
      <c r="AM207">
        <f t="shared" si="41"/>
        <v>4871800</v>
      </c>
    </row>
    <row r="208" spans="1:40" ht="13.5" thickBot="1">
      <c r="A208" t="s">
        <v>58</v>
      </c>
      <c r="B208" s="63">
        <v>0.1</v>
      </c>
      <c r="C208" s="63">
        <v>0</v>
      </c>
      <c r="D208" s="64">
        <v>1</v>
      </c>
      <c r="E208" s="50">
        <v>43411</v>
      </c>
      <c r="F208">
        <v>25733</v>
      </c>
      <c r="G208">
        <v>25800</v>
      </c>
      <c r="H208">
        <v>25600</v>
      </c>
      <c r="I208" s="32">
        <v>209</v>
      </c>
      <c r="J208" s="45">
        <v>193</v>
      </c>
      <c r="K208" s="51">
        <v>0.76736111111111116</v>
      </c>
      <c r="L208" s="45">
        <v>190</v>
      </c>
      <c r="M208" s="45">
        <v>185</v>
      </c>
      <c r="N208" s="43">
        <f t="shared" si="42"/>
        <v>27</v>
      </c>
      <c r="O208" s="77">
        <f>ImpliedCallVolatility(F208,G208,((D208)/365),B208,I208,C208)</f>
        <v>0.44200897216796875</v>
      </c>
      <c r="P208" s="77">
        <f>ImpliedPutVolatility(F208,H208,((D208)/365),B208,J208,C208)</f>
        <v>0.47954559326171875</v>
      </c>
      <c r="Q208" t="str">
        <f t="shared" si="43"/>
        <v>Buy</v>
      </c>
      <c r="R208">
        <f t="shared" si="44"/>
        <v>281.39999999999998</v>
      </c>
      <c r="S208">
        <f t="shared" si="45"/>
        <v>26014.400000000001</v>
      </c>
      <c r="T208">
        <f t="shared" si="46"/>
        <v>25451.599999999999</v>
      </c>
      <c r="U208" s="36">
        <v>0.77083333333333337</v>
      </c>
      <c r="V208">
        <v>25737</v>
      </c>
      <c r="AB208">
        <v>25733</v>
      </c>
      <c r="AC208">
        <v>25810</v>
      </c>
      <c r="AE208">
        <f t="shared" si="15"/>
        <v>77</v>
      </c>
      <c r="AF208">
        <f t="shared" si="47"/>
        <v>3797</v>
      </c>
      <c r="AI208">
        <f t="shared" si="38"/>
        <v>54000</v>
      </c>
      <c r="AJ208">
        <f t="shared" si="39"/>
        <v>15400</v>
      </c>
      <c r="AL208">
        <f t="shared" si="40"/>
        <v>69400</v>
      </c>
      <c r="AM208">
        <f t="shared" si="41"/>
        <v>4941200</v>
      </c>
    </row>
    <row r="209" spans="1:40">
      <c r="B209" s="63">
        <v>0.1</v>
      </c>
      <c r="C209" s="63">
        <v>0</v>
      </c>
      <c r="D209" s="64">
        <v>5</v>
      </c>
      <c r="E209" s="34">
        <v>43413</v>
      </c>
      <c r="F209">
        <v>25683</v>
      </c>
      <c r="G209">
        <v>25700</v>
      </c>
      <c r="H209">
        <v>25600</v>
      </c>
      <c r="I209">
        <v>211</v>
      </c>
      <c r="J209">
        <v>191</v>
      </c>
      <c r="K209" s="36">
        <v>0.63541666666666663</v>
      </c>
      <c r="L209">
        <v>238</v>
      </c>
      <c r="M209">
        <v>160</v>
      </c>
      <c r="N209" s="43">
        <f t="shared" si="42"/>
        <v>4</v>
      </c>
      <c r="O209" s="77">
        <f>ImpliedCallVolatility(F209,G209,((D209)/365),B209,I209,C209)</f>
        <v>0.16834259033203125</v>
      </c>
      <c r="P209" s="77">
        <f>ImpliedPutVolatility(F209,H209,((D209)/365),B209,J209,C209)</f>
        <v>0.20519256591796875</v>
      </c>
      <c r="Q209" t="str">
        <f t="shared" si="43"/>
        <v>Buy</v>
      </c>
      <c r="R209">
        <f t="shared" si="44"/>
        <v>281.39999999999998</v>
      </c>
      <c r="S209">
        <f t="shared" si="45"/>
        <v>25964.400000000001</v>
      </c>
      <c r="T209">
        <f t="shared" si="46"/>
        <v>25401.599999999999</v>
      </c>
      <c r="U209" s="36">
        <v>0.63541666666666663</v>
      </c>
      <c r="V209">
        <v>25811</v>
      </c>
      <c r="AB209">
        <v>25868</v>
      </c>
      <c r="AC209">
        <v>25683</v>
      </c>
      <c r="AE209">
        <f t="shared" si="15"/>
        <v>-185</v>
      </c>
      <c r="AF209">
        <f t="shared" si="47"/>
        <v>3612</v>
      </c>
      <c r="AI209">
        <f t="shared" si="38"/>
        <v>8000</v>
      </c>
      <c r="AJ209">
        <f t="shared" si="39"/>
        <v>-37000</v>
      </c>
      <c r="AL209">
        <f t="shared" si="40"/>
        <v>-29000</v>
      </c>
      <c r="AM209">
        <f t="shared" si="41"/>
        <v>4912200</v>
      </c>
    </row>
    <row r="210" spans="1:40">
      <c r="B210" s="63">
        <v>0.1</v>
      </c>
      <c r="C210" s="63">
        <v>0</v>
      </c>
      <c r="D210" s="64">
        <v>4</v>
      </c>
      <c r="E210" s="37">
        <v>43416</v>
      </c>
      <c r="F210">
        <v>25868</v>
      </c>
      <c r="G210">
        <v>25900</v>
      </c>
      <c r="H210">
        <v>25900</v>
      </c>
      <c r="I210">
        <v>173</v>
      </c>
      <c r="J210">
        <v>194</v>
      </c>
      <c r="K210" s="36">
        <v>0.55208333333333337</v>
      </c>
      <c r="L210">
        <v>82</v>
      </c>
      <c r="M210">
        <v>357</v>
      </c>
      <c r="N210" s="43">
        <f t="shared" si="42"/>
        <v>-72</v>
      </c>
      <c r="O210" s="77">
        <f>ImpliedCallVolatility(F210,G210,((D210)/365),B210,I210,C210)</f>
        <v>0.16178131103515625</v>
      </c>
      <c r="P210" s="77">
        <f>ImpliedPutVolatility(F210,H210,((D210)/365),B210,J210,C210)</f>
        <v>0.17787933349609375</v>
      </c>
      <c r="Q210" t="str">
        <f t="shared" si="43"/>
        <v>Buy</v>
      </c>
      <c r="R210">
        <f t="shared" si="44"/>
        <v>256.89999999999998</v>
      </c>
      <c r="S210">
        <f t="shared" si="45"/>
        <v>26124.9</v>
      </c>
      <c r="T210">
        <f t="shared" si="46"/>
        <v>25611.1</v>
      </c>
      <c r="U210" s="36">
        <v>0.55208333333333337</v>
      </c>
      <c r="V210">
        <v>25608</v>
      </c>
      <c r="AB210">
        <v>25440</v>
      </c>
      <c r="AC210">
        <v>25785</v>
      </c>
      <c r="AE210">
        <f t="shared" si="15"/>
        <v>345</v>
      </c>
      <c r="AF210">
        <f t="shared" si="47"/>
        <v>3957</v>
      </c>
      <c r="AI210">
        <f t="shared" si="38"/>
        <v>-144000</v>
      </c>
      <c r="AJ210">
        <f t="shared" si="39"/>
        <v>69000</v>
      </c>
      <c r="AL210">
        <f t="shared" si="40"/>
        <v>-75000</v>
      </c>
      <c r="AM210">
        <f t="shared" si="41"/>
        <v>4837200</v>
      </c>
    </row>
    <row r="211" spans="1:40">
      <c r="B211" s="63">
        <v>0.1</v>
      </c>
      <c r="C211" s="63">
        <v>0</v>
      </c>
      <c r="D211" s="64">
        <v>3</v>
      </c>
      <c r="E211" s="37">
        <v>43417</v>
      </c>
      <c r="F211">
        <v>25440</v>
      </c>
      <c r="G211">
        <v>25500</v>
      </c>
      <c r="H211">
        <v>25400</v>
      </c>
      <c r="I211">
        <v>148</v>
      </c>
      <c r="J211">
        <v>156</v>
      </c>
      <c r="K211" s="36">
        <v>0.57291666666666663</v>
      </c>
      <c r="L211">
        <v>248</v>
      </c>
      <c r="M211">
        <v>65</v>
      </c>
      <c r="N211" s="43">
        <f t="shared" si="42"/>
        <v>-9</v>
      </c>
      <c r="O211" s="77">
        <f>ImpliedCallVolatility(F211,G211,((D211)/365),B211,I211,C211)</f>
        <v>0.18115997314453125</v>
      </c>
      <c r="P211" s="77">
        <f>ImpliedPutVolatility(F211,H211,((D211)/365),B211,J211,C211)</f>
        <v>0.20114898681640625</v>
      </c>
      <c r="Q211" t="str">
        <f t="shared" si="43"/>
        <v>Buy</v>
      </c>
      <c r="R211">
        <f t="shared" si="44"/>
        <v>212.79999999999998</v>
      </c>
      <c r="S211">
        <f t="shared" si="45"/>
        <v>25652.799999999999</v>
      </c>
      <c r="T211">
        <f t="shared" si="46"/>
        <v>25227.200000000001</v>
      </c>
      <c r="U211" s="36">
        <v>0.57291666666666663</v>
      </c>
      <c r="V211">
        <v>25648</v>
      </c>
      <c r="AB211">
        <v>25947</v>
      </c>
      <c r="AC211">
        <v>25814</v>
      </c>
      <c r="AE211">
        <f t="shared" si="15"/>
        <v>-133</v>
      </c>
      <c r="AF211">
        <f t="shared" si="47"/>
        <v>3824</v>
      </c>
      <c r="AI211">
        <f t="shared" si="38"/>
        <v>-18000</v>
      </c>
      <c r="AJ211">
        <f t="shared" si="39"/>
        <v>-26600</v>
      </c>
      <c r="AL211">
        <f t="shared" si="40"/>
        <v>-44600</v>
      </c>
      <c r="AM211">
        <f t="shared" si="41"/>
        <v>4792600</v>
      </c>
    </row>
    <row r="212" spans="1:40">
      <c r="A212" t="s">
        <v>57</v>
      </c>
      <c r="B212" s="63">
        <v>0.1</v>
      </c>
      <c r="C212" s="63">
        <v>0</v>
      </c>
      <c r="D212" s="64">
        <v>2</v>
      </c>
      <c r="E212" s="37">
        <v>43418</v>
      </c>
      <c r="F212">
        <v>25948</v>
      </c>
      <c r="G212">
        <v>26000</v>
      </c>
      <c r="H212">
        <v>25800</v>
      </c>
      <c r="I212">
        <v>114</v>
      </c>
      <c r="J212">
        <v>140</v>
      </c>
      <c r="K212" s="36">
        <v>0.59722222222222221</v>
      </c>
      <c r="L212">
        <v>40</v>
      </c>
      <c r="M212">
        <v>229</v>
      </c>
      <c r="N212" s="43">
        <f t="shared" si="42"/>
        <v>-15</v>
      </c>
      <c r="O212" s="77">
        <f>ImpliedCallVolatility(F212,G212,((D212)/365),B212,I212,C212)</f>
        <v>0.17215728759765625</v>
      </c>
      <c r="P212" s="77">
        <f>ImpliedPutVolatility(F212,H212,((D212)/365),B212,J212,C212)</f>
        <v>0.27652740478515625</v>
      </c>
      <c r="Q212" t="str">
        <f t="shared" si="43"/>
        <v>Buy</v>
      </c>
      <c r="R212">
        <f t="shared" si="44"/>
        <v>177.79999999999998</v>
      </c>
      <c r="S212">
        <f t="shared" si="45"/>
        <v>26125.8</v>
      </c>
      <c r="T212">
        <f t="shared" si="46"/>
        <v>25770.2</v>
      </c>
      <c r="U212" s="36">
        <v>0.63541666666666663</v>
      </c>
      <c r="V212">
        <v>25930</v>
      </c>
      <c r="AB212">
        <v>25915</v>
      </c>
      <c r="AC212">
        <v>26165</v>
      </c>
      <c r="AE212">
        <f t="shared" si="15"/>
        <v>250</v>
      </c>
      <c r="AF212">
        <f t="shared" si="47"/>
        <v>4074</v>
      </c>
      <c r="AI212">
        <f t="shared" si="38"/>
        <v>-30000</v>
      </c>
      <c r="AJ212">
        <f t="shared" si="39"/>
        <v>50000</v>
      </c>
      <c r="AL212">
        <f t="shared" si="40"/>
        <v>20000</v>
      </c>
      <c r="AM212">
        <f t="shared" si="41"/>
        <v>4812600</v>
      </c>
    </row>
    <row r="213" spans="1:40" ht="13.5" thickBot="1">
      <c r="A213" t="s">
        <v>58</v>
      </c>
      <c r="B213" s="63">
        <v>0.1</v>
      </c>
      <c r="C213" s="63">
        <v>0</v>
      </c>
      <c r="D213" s="64">
        <v>1</v>
      </c>
      <c r="E213" s="50">
        <v>43419</v>
      </c>
      <c r="F213">
        <v>25915</v>
      </c>
      <c r="G213">
        <v>26200</v>
      </c>
      <c r="H213">
        <v>25600</v>
      </c>
      <c r="I213">
        <v>135</v>
      </c>
      <c r="J213">
        <v>124</v>
      </c>
      <c r="K213" s="36">
        <v>0.54513888888888895</v>
      </c>
      <c r="L213">
        <v>56</v>
      </c>
      <c r="M213">
        <v>180</v>
      </c>
      <c r="N213" s="43">
        <f t="shared" si="42"/>
        <v>23</v>
      </c>
      <c r="O213" s="77">
        <f>ImpliedCallVolatility(F213,G213,((D213)/365),B213,I213,C213)</f>
        <v>0.45902252197265625</v>
      </c>
      <c r="P213" s="77">
        <f>ImpliedPutVolatility(F213,H213,((D213)/365),B213,J213,C213)</f>
        <v>0.47061920166015625</v>
      </c>
      <c r="Q213" t="str">
        <f t="shared" si="43"/>
        <v>Buy</v>
      </c>
      <c r="R213">
        <f t="shared" si="44"/>
        <v>181.29999999999998</v>
      </c>
      <c r="S213">
        <f t="shared" si="45"/>
        <v>26096.3</v>
      </c>
      <c r="T213">
        <f t="shared" si="46"/>
        <v>25733.7</v>
      </c>
      <c r="U213" s="36">
        <v>0.55208333333333337</v>
      </c>
      <c r="V213">
        <v>26156</v>
      </c>
      <c r="AB213">
        <v>26247</v>
      </c>
      <c r="AC213">
        <v>26237</v>
      </c>
      <c r="AE213">
        <f t="shared" si="15"/>
        <v>-10</v>
      </c>
      <c r="AF213">
        <f t="shared" si="47"/>
        <v>4064</v>
      </c>
      <c r="AI213">
        <f t="shared" si="38"/>
        <v>46000</v>
      </c>
      <c r="AJ213">
        <f t="shared" si="39"/>
        <v>-2000</v>
      </c>
      <c r="AL213">
        <f t="shared" si="40"/>
        <v>44000</v>
      </c>
      <c r="AM213">
        <f t="shared" si="41"/>
        <v>4856600</v>
      </c>
    </row>
    <row r="214" spans="1:40">
      <c r="B214" s="63">
        <v>0.1</v>
      </c>
      <c r="C214" s="63">
        <v>0</v>
      </c>
      <c r="D214" s="64">
        <v>5</v>
      </c>
      <c r="E214" s="34">
        <v>43420</v>
      </c>
      <c r="F214">
        <v>26247</v>
      </c>
      <c r="G214">
        <v>26300</v>
      </c>
      <c r="H214">
        <v>26200</v>
      </c>
      <c r="I214">
        <v>180</v>
      </c>
      <c r="J214">
        <v>180</v>
      </c>
      <c r="K214" s="36">
        <v>0.63541666666666663</v>
      </c>
      <c r="L214">
        <v>180</v>
      </c>
      <c r="M214">
        <v>199</v>
      </c>
      <c r="N214" s="43">
        <f t="shared" si="42"/>
        <v>-19</v>
      </c>
      <c r="O214" s="77">
        <f>ImpliedCallVolatility(F214,G214,((D214)/365),B214,I214,C214)</f>
        <v>0.15369415283203125</v>
      </c>
      <c r="P214" s="77">
        <f>ImpliedPutVolatility(F214,H214,((D214)/365),B214,J214,C214)</f>
        <v>0.17894744873046875</v>
      </c>
      <c r="Q214" t="str">
        <f t="shared" si="43"/>
        <v>Buy</v>
      </c>
      <c r="R214">
        <f t="shared" si="44"/>
        <v>251.99999999999997</v>
      </c>
      <c r="S214">
        <f t="shared" si="45"/>
        <v>26499</v>
      </c>
      <c r="T214">
        <f t="shared" si="46"/>
        <v>25995</v>
      </c>
      <c r="U214" s="36">
        <v>0.63541666666666663</v>
      </c>
      <c r="V214">
        <v>26237</v>
      </c>
      <c r="AB214">
        <v>26247</v>
      </c>
      <c r="AC214">
        <v>26229</v>
      </c>
      <c r="AE214">
        <f t="shared" si="15"/>
        <v>-18</v>
      </c>
      <c r="AF214">
        <f t="shared" si="47"/>
        <v>4046</v>
      </c>
      <c r="AI214">
        <f t="shared" si="38"/>
        <v>-38000</v>
      </c>
      <c r="AJ214">
        <f t="shared" si="39"/>
        <v>-3600</v>
      </c>
      <c r="AL214">
        <f t="shared" si="40"/>
        <v>-41600</v>
      </c>
      <c r="AM214">
        <f t="shared" si="41"/>
        <v>4815000</v>
      </c>
    </row>
    <row r="215" spans="1:40">
      <c r="B215" s="63">
        <v>0.1</v>
      </c>
      <c r="C215" s="63">
        <v>0</v>
      </c>
      <c r="D215" s="64">
        <v>4</v>
      </c>
      <c r="E215" s="37">
        <v>43423</v>
      </c>
      <c r="F215">
        <v>26311</v>
      </c>
      <c r="G215">
        <v>26300</v>
      </c>
      <c r="H215">
        <v>26300</v>
      </c>
      <c r="I215">
        <v>207</v>
      </c>
      <c r="J215">
        <v>230</v>
      </c>
      <c r="K215" s="36">
        <v>0.63541666666666663</v>
      </c>
      <c r="L215">
        <v>204</v>
      </c>
      <c r="M215">
        <v>223</v>
      </c>
      <c r="N215" s="43">
        <f t="shared" si="42"/>
        <v>10</v>
      </c>
      <c r="O215" s="77">
        <f>ImpliedCallVolatility(F215,G215,((D215)/365),B215,I215,C215)</f>
        <v>0.16979217529296875</v>
      </c>
      <c r="P215" s="77">
        <f>ImpliedPutVolatility(F215,H215,((D215)/365),B215,J215,C215)</f>
        <v>0.22716522216796875</v>
      </c>
      <c r="Q215" t="str">
        <f t="shared" si="43"/>
        <v>Buy</v>
      </c>
      <c r="R215">
        <f t="shared" si="44"/>
        <v>305.89999999999998</v>
      </c>
      <c r="S215">
        <f t="shared" si="45"/>
        <v>26616.9</v>
      </c>
      <c r="T215">
        <f t="shared" si="46"/>
        <v>26005.1</v>
      </c>
      <c r="U215" s="36">
        <v>0.63541666666666663</v>
      </c>
      <c r="V215">
        <v>26284</v>
      </c>
      <c r="AB215">
        <v>26180</v>
      </c>
      <c r="AC215">
        <v>26068</v>
      </c>
      <c r="AE215">
        <f t="shared" si="15"/>
        <v>-112</v>
      </c>
      <c r="AF215">
        <f t="shared" si="47"/>
        <v>3934</v>
      </c>
      <c r="AI215">
        <f t="shared" si="38"/>
        <v>20000</v>
      </c>
      <c r="AJ215">
        <f t="shared" si="39"/>
        <v>-22400</v>
      </c>
      <c r="AL215">
        <f t="shared" si="40"/>
        <v>-2400</v>
      </c>
      <c r="AM215">
        <f t="shared" si="41"/>
        <v>4812600</v>
      </c>
    </row>
    <row r="216" spans="1:40">
      <c r="B216" s="63">
        <v>0.1</v>
      </c>
      <c r="C216" s="63">
        <v>0</v>
      </c>
      <c r="D216" s="64">
        <v>3</v>
      </c>
      <c r="E216" s="37">
        <v>43424</v>
      </c>
      <c r="F216">
        <v>26180</v>
      </c>
      <c r="G216">
        <v>26200</v>
      </c>
      <c r="H216">
        <v>26200</v>
      </c>
      <c r="I216">
        <v>179</v>
      </c>
      <c r="J216">
        <v>190</v>
      </c>
      <c r="K216" s="36">
        <v>0.63541666666666663</v>
      </c>
      <c r="L216">
        <v>121</v>
      </c>
      <c r="M216">
        <v>177</v>
      </c>
      <c r="N216" s="43">
        <f t="shared" si="42"/>
        <v>71</v>
      </c>
      <c r="O216" s="77">
        <f>ImpliedCallVolatility(F216,G216,((D216)/365),B216,I216,C216)</f>
        <v>0.18825531005859375</v>
      </c>
      <c r="P216" s="77">
        <f>ImpliedPutVolatility(F216,H216,((D216)/365),B216,J216,C216)</f>
        <v>0.20145416259765625</v>
      </c>
      <c r="Q216" t="str">
        <f t="shared" si="43"/>
        <v>Buy</v>
      </c>
      <c r="R216">
        <f t="shared" si="44"/>
        <v>258.3</v>
      </c>
      <c r="S216">
        <f t="shared" si="45"/>
        <v>26438.3</v>
      </c>
      <c r="T216">
        <f t="shared" si="46"/>
        <v>25921.7</v>
      </c>
      <c r="U216" s="36">
        <v>0.63541666666666663</v>
      </c>
      <c r="V216">
        <v>26129</v>
      </c>
      <c r="AB216">
        <v>26153</v>
      </c>
      <c r="AC216">
        <v>26267</v>
      </c>
      <c r="AE216">
        <f t="shared" si="15"/>
        <v>114</v>
      </c>
      <c r="AF216">
        <f t="shared" si="47"/>
        <v>4048</v>
      </c>
      <c r="AI216">
        <f t="shared" si="38"/>
        <v>142000</v>
      </c>
      <c r="AJ216">
        <f t="shared" si="39"/>
        <v>22800</v>
      </c>
      <c r="AL216">
        <f t="shared" si="40"/>
        <v>164800</v>
      </c>
      <c r="AM216">
        <f t="shared" si="41"/>
        <v>4977400</v>
      </c>
    </row>
    <row r="217" spans="1:40">
      <c r="A217" t="s">
        <v>57</v>
      </c>
      <c r="B217" s="63">
        <v>0.1</v>
      </c>
      <c r="C217" s="63">
        <v>0</v>
      </c>
      <c r="D217" s="64">
        <v>2</v>
      </c>
      <c r="E217" s="37">
        <v>43425</v>
      </c>
      <c r="F217">
        <v>26154</v>
      </c>
      <c r="G217">
        <v>26200</v>
      </c>
      <c r="H217">
        <v>26200</v>
      </c>
      <c r="I217">
        <v>122</v>
      </c>
      <c r="J217">
        <v>137</v>
      </c>
      <c r="K217" s="36">
        <v>0.59722222222222221</v>
      </c>
      <c r="L217">
        <v>189</v>
      </c>
      <c r="M217">
        <v>43</v>
      </c>
      <c r="N217" s="43">
        <f t="shared" si="42"/>
        <v>27</v>
      </c>
      <c r="O217" s="77">
        <f>ImpliedCallVolatility(F217,G217,((D217)/365),B217,I217,C217)</f>
        <v>0.17757415771484375</v>
      </c>
      <c r="P217" s="77">
        <f>ImpliedPutVolatility(F217,H217,((D217)/365),B217,J217,C217)</f>
        <v>0.15590667724609375</v>
      </c>
      <c r="Q217" t="str">
        <f t="shared" si="43"/>
        <v>Sell</v>
      </c>
      <c r="R217">
        <f t="shared" si="44"/>
        <v>181.29999999999998</v>
      </c>
      <c r="S217">
        <f t="shared" si="45"/>
        <v>26335.3</v>
      </c>
      <c r="T217">
        <f t="shared" si="46"/>
        <v>25972.7</v>
      </c>
      <c r="U217" s="36">
        <v>0.63541666666666663</v>
      </c>
      <c r="V217">
        <v>26268</v>
      </c>
      <c r="AB217">
        <v>25999</v>
      </c>
      <c r="AC217">
        <v>26225</v>
      </c>
      <c r="AE217">
        <f t="shared" si="15"/>
        <v>226</v>
      </c>
      <c r="AF217">
        <f t="shared" si="47"/>
        <v>4274</v>
      </c>
      <c r="AI217">
        <f t="shared" si="38"/>
        <v>54000</v>
      </c>
      <c r="AJ217">
        <f t="shared" si="39"/>
        <v>45200</v>
      </c>
      <c r="AL217">
        <f t="shared" si="40"/>
        <v>99200</v>
      </c>
      <c r="AM217">
        <f t="shared" si="41"/>
        <v>5076600</v>
      </c>
    </row>
    <row r="218" spans="1:40" ht="13.5" thickBot="1">
      <c r="A218" t="s">
        <v>58</v>
      </c>
      <c r="B218" s="63">
        <v>0.1</v>
      </c>
      <c r="C218" s="63">
        <v>0</v>
      </c>
      <c r="D218" s="64">
        <v>1</v>
      </c>
      <c r="E218" s="50">
        <v>43426</v>
      </c>
      <c r="F218">
        <v>26225</v>
      </c>
      <c r="G218">
        <v>26500</v>
      </c>
      <c r="H218">
        <v>26000</v>
      </c>
      <c r="I218">
        <v>111</v>
      </c>
      <c r="J218">
        <v>114</v>
      </c>
      <c r="K218" s="36">
        <v>0.61111111111111105</v>
      </c>
      <c r="L218">
        <v>48</v>
      </c>
      <c r="M218">
        <v>168</v>
      </c>
      <c r="N218" s="43">
        <f t="shared" si="42"/>
        <v>9</v>
      </c>
      <c r="O218" s="77">
        <f>ImpliedCallVolatility(F218,G218,((D218)/365),B218,I218,C218)</f>
        <v>0.39859771728515625</v>
      </c>
      <c r="P218" s="77">
        <f>ImpliedPutVolatility(F218,H218,((D218)/365),B218,J218,C218)</f>
        <v>0.38509368896484375</v>
      </c>
      <c r="Q218" t="str">
        <f t="shared" si="43"/>
        <v>Sell</v>
      </c>
      <c r="R218">
        <f t="shared" si="44"/>
        <v>157.5</v>
      </c>
      <c r="S218">
        <f t="shared" si="45"/>
        <v>26382.5</v>
      </c>
      <c r="T218">
        <f t="shared" si="46"/>
        <v>26067.5</v>
      </c>
      <c r="U218" s="36">
        <v>0.625</v>
      </c>
      <c r="V218">
        <v>26025</v>
      </c>
      <c r="AB218">
        <v>26192</v>
      </c>
      <c r="AC218">
        <v>26109</v>
      </c>
      <c r="AE218">
        <f t="shared" si="15"/>
        <v>-83</v>
      </c>
      <c r="AF218">
        <f t="shared" si="47"/>
        <v>4191</v>
      </c>
      <c r="AI218">
        <f t="shared" si="38"/>
        <v>18000</v>
      </c>
      <c r="AJ218">
        <f t="shared" si="39"/>
        <v>-16600</v>
      </c>
      <c r="AL218">
        <f t="shared" si="40"/>
        <v>1400</v>
      </c>
      <c r="AM218">
        <f t="shared" si="41"/>
        <v>5078000</v>
      </c>
    </row>
    <row r="219" spans="1:40">
      <c r="B219" s="63">
        <v>0.1</v>
      </c>
      <c r="C219" s="63">
        <v>0</v>
      </c>
      <c r="D219" s="64">
        <v>4</v>
      </c>
      <c r="E219" s="34">
        <v>43430</v>
      </c>
      <c r="F219">
        <v>26110</v>
      </c>
      <c r="G219">
        <v>26100</v>
      </c>
      <c r="H219">
        <v>26100</v>
      </c>
      <c r="I219">
        <v>180</v>
      </c>
      <c r="J219">
        <v>185</v>
      </c>
      <c r="K219" s="36">
        <v>0.63194444444444442</v>
      </c>
      <c r="L219">
        <v>318</v>
      </c>
      <c r="M219">
        <v>75</v>
      </c>
      <c r="N219" s="43">
        <f t="shared" si="42"/>
        <v>-28</v>
      </c>
      <c r="O219" s="77">
        <f>ImpliedCallVolatility(F219,G219,((D219)/365),B219,I219,C219)</f>
        <v>0.14682769775390625</v>
      </c>
      <c r="P219" s="77">
        <f>ImpliedPutVolatility(F219,H219,((D219)/365),B219,J219,C219)</f>
        <v>0.18695831298828125</v>
      </c>
      <c r="Q219" t="str">
        <f t="shared" si="43"/>
        <v>Buy</v>
      </c>
      <c r="R219">
        <f t="shared" si="44"/>
        <v>255.49999999999997</v>
      </c>
      <c r="S219">
        <f t="shared" si="45"/>
        <v>26365.5</v>
      </c>
      <c r="T219">
        <f t="shared" si="46"/>
        <v>25854.5</v>
      </c>
      <c r="U219" s="36">
        <v>0.59375</v>
      </c>
      <c r="V219">
        <v>26311</v>
      </c>
      <c r="AB219">
        <v>26314</v>
      </c>
      <c r="AC219">
        <v>26423</v>
      </c>
      <c r="AE219">
        <f t="shared" si="15"/>
        <v>109</v>
      </c>
      <c r="AF219">
        <f t="shared" si="47"/>
        <v>4300</v>
      </c>
      <c r="AI219">
        <f t="shared" si="38"/>
        <v>-56000</v>
      </c>
      <c r="AJ219">
        <f t="shared" si="39"/>
        <v>21800</v>
      </c>
      <c r="AL219">
        <f t="shared" si="40"/>
        <v>-34200</v>
      </c>
      <c r="AM219">
        <f t="shared" si="41"/>
        <v>5043800</v>
      </c>
    </row>
    <row r="220" spans="1:40">
      <c r="B220" s="63">
        <v>0.1</v>
      </c>
      <c r="C220" s="63">
        <v>0</v>
      </c>
      <c r="D220" s="64">
        <v>3</v>
      </c>
      <c r="E220" s="37">
        <v>43431</v>
      </c>
      <c r="F220">
        <v>26314</v>
      </c>
      <c r="G220">
        <v>26300</v>
      </c>
      <c r="H220">
        <v>26300</v>
      </c>
      <c r="I220">
        <v>156</v>
      </c>
      <c r="J220">
        <v>134</v>
      </c>
      <c r="K220" s="36">
        <v>0.63541666666666663</v>
      </c>
      <c r="L220">
        <v>184</v>
      </c>
      <c r="M220">
        <v>84</v>
      </c>
      <c r="N220" s="43">
        <f t="shared" si="42"/>
        <v>22</v>
      </c>
      <c r="O220" s="77">
        <f>ImpliedCallVolatility(F220,G220,((D220)/365),B220,I220,C220)</f>
        <v>0.14453887939453125</v>
      </c>
      <c r="P220" s="77">
        <f>ImpliedPutVolatility(F220,H220,((D220)/365),B220,J220,C220)</f>
        <v>0.15888214111328125</v>
      </c>
      <c r="Q220" t="str">
        <f t="shared" si="43"/>
        <v>Buy</v>
      </c>
      <c r="R220">
        <f t="shared" si="44"/>
        <v>203</v>
      </c>
      <c r="S220">
        <f t="shared" si="45"/>
        <v>26517</v>
      </c>
      <c r="T220">
        <f t="shared" si="46"/>
        <v>26111</v>
      </c>
      <c r="U220" s="36">
        <v>0.63541666666666663</v>
      </c>
      <c r="V220">
        <v>26424</v>
      </c>
      <c r="AB220">
        <v>26488</v>
      </c>
      <c r="AC220">
        <v>26439</v>
      </c>
      <c r="AE220">
        <f t="shared" si="15"/>
        <v>-49</v>
      </c>
      <c r="AF220">
        <f t="shared" si="47"/>
        <v>4251</v>
      </c>
      <c r="AI220">
        <f t="shared" si="38"/>
        <v>44000</v>
      </c>
      <c r="AJ220">
        <f t="shared" si="39"/>
        <v>-9800</v>
      </c>
      <c r="AL220">
        <f t="shared" si="40"/>
        <v>34200</v>
      </c>
      <c r="AM220">
        <f t="shared" si="41"/>
        <v>5078000</v>
      </c>
    </row>
    <row r="221" spans="1:40">
      <c r="A221" t="s">
        <v>57</v>
      </c>
      <c r="B221" s="63">
        <v>0.1</v>
      </c>
      <c r="C221" s="63">
        <v>0</v>
      </c>
      <c r="D221" s="64">
        <v>2</v>
      </c>
      <c r="E221" s="37">
        <v>43432</v>
      </c>
      <c r="F221">
        <v>26488</v>
      </c>
      <c r="G221">
        <v>26500</v>
      </c>
      <c r="H221">
        <v>26500</v>
      </c>
      <c r="I221">
        <v>108</v>
      </c>
      <c r="J221">
        <v>123</v>
      </c>
      <c r="K221" s="36">
        <v>0.63541666666666663</v>
      </c>
      <c r="L221">
        <v>60</v>
      </c>
      <c r="M221">
        <v>123</v>
      </c>
      <c r="N221" s="43">
        <f t="shared" si="42"/>
        <v>48</v>
      </c>
      <c r="O221" s="77">
        <f>ImpliedCallVolatility(F221,G221,((D221)/365),B221,I221,C221)</f>
        <v>0.13645172119140625</v>
      </c>
      <c r="P221" s="77">
        <f>ImpliedPutVolatility(F221,H221,((D221)/365),B221,J221,C221)</f>
        <v>0.15888214111328125</v>
      </c>
      <c r="Q221" t="str">
        <f t="shared" si="43"/>
        <v>Buy</v>
      </c>
      <c r="R221">
        <f t="shared" si="44"/>
        <v>161.69999999999999</v>
      </c>
      <c r="S221">
        <f t="shared" si="45"/>
        <v>26649.7</v>
      </c>
      <c r="T221">
        <f t="shared" si="46"/>
        <v>26326.3</v>
      </c>
      <c r="U221" s="36">
        <v>0.63541666666666663</v>
      </c>
      <c r="V221">
        <v>26463</v>
      </c>
      <c r="AB221">
        <v>26594</v>
      </c>
      <c r="AC221">
        <v>26919</v>
      </c>
      <c r="AE221">
        <f t="shared" si="15"/>
        <v>325</v>
      </c>
      <c r="AF221">
        <f t="shared" si="47"/>
        <v>4576</v>
      </c>
      <c r="AI221">
        <f t="shared" si="38"/>
        <v>96000</v>
      </c>
      <c r="AJ221">
        <f t="shared" si="39"/>
        <v>65000</v>
      </c>
      <c r="AL221">
        <f t="shared" si="40"/>
        <v>161000</v>
      </c>
      <c r="AM221">
        <f t="shared" si="41"/>
        <v>5239000</v>
      </c>
    </row>
    <row r="222" spans="1:40" ht="13.5" thickBot="1">
      <c r="A222" t="s">
        <v>58</v>
      </c>
      <c r="B222" s="63">
        <v>0.1</v>
      </c>
      <c r="C222" s="63">
        <v>0</v>
      </c>
      <c r="D222" s="64">
        <v>1</v>
      </c>
      <c r="E222" s="50">
        <v>43433</v>
      </c>
      <c r="F222">
        <v>26594</v>
      </c>
      <c r="G222">
        <v>26900</v>
      </c>
      <c r="H222">
        <v>26300</v>
      </c>
      <c r="I222">
        <v>80</v>
      </c>
      <c r="J222">
        <v>96</v>
      </c>
      <c r="K222" s="36">
        <v>0.58333333333333337</v>
      </c>
      <c r="L222">
        <v>132</v>
      </c>
      <c r="M222">
        <v>58</v>
      </c>
      <c r="N222" s="43">
        <f t="shared" si="42"/>
        <v>-14</v>
      </c>
      <c r="O222" s="77">
        <f>ImpliedCallVolatility(F222,G222,((D222)/365),B222,I222,C222)</f>
        <v>0.34702301025390625</v>
      </c>
      <c r="P222" s="77">
        <f>ImpliedPutVolatility(F222,H222,((D222)/365),B222,J222,C222)</f>
        <v>0.38700103759765625</v>
      </c>
      <c r="Q222" t="str">
        <f t="shared" si="43"/>
        <v>Buy</v>
      </c>
      <c r="R222">
        <f t="shared" si="44"/>
        <v>123.19999999999999</v>
      </c>
      <c r="S222">
        <f t="shared" si="45"/>
        <v>26717.200000000001</v>
      </c>
      <c r="T222">
        <f t="shared" si="46"/>
        <v>26470.799999999999</v>
      </c>
      <c r="U222" s="36">
        <v>0.55208333333333337</v>
      </c>
      <c r="V222">
        <v>26817</v>
      </c>
      <c r="AB222">
        <v>26918</v>
      </c>
      <c r="AC222">
        <v>26777</v>
      </c>
      <c r="AE222">
        <f t="shared" si="15"/>
        <v>-141</v>
      </c>
      <c r="AF222">
        <f t="shared" si="47"/>
        <v>4435</v>
      </c>
      <c r="AI222">
        <f t="shared" si="38"/>
        <v>-28000</v>
      </c>
      <c r="AJ222">
        <f t="shared" si="39"/>
        <v>-28200</v>
      </c>
      <c r="AL222">
        <f t="shared" si="40"/>
        <v>-56200</v>
      </c>
      <c r="AM222">
        <f t="shared" si="41"/>
        <v>5182800</v>
      </c>
    </row>
    <row r="223" spans="1:40">
      <c r="B223" s="63">
        <v>0.1</v>
      </c>
      <c r="C223" s="63">
        <v>0</v>
      </c>
      <c r="D223" s="64">
        <v>5</v>
      </c>
      <c r="E223" s="34">
        <v>43434</v>
      </c>
      <c r="F223">
        <v>26919</v>
      </c>
      <c r="G223">
        <v>27000</v>
      </c>
      <c r="H223">
        <v>26900</v>
      </c>
      <c r="I223">
        <v>178</v>
      </c>
      <c r="J223">
        <v>207</v>
      </c>
      <c r="K223" s="36">
        <v>0.63541666666666663</v>
      </c>
      <c r="L223">
        <v>144</v>
      </c>
      <c r="M223">
        <v>235</v>
      </c>
      <c r="N223" s="43">
        <f t="shared" si="42"/>
        <v>6</v>
      </c>
      <c r="O223" s="77">
        <f>ImpliedCallVolatility(F223,G223,((D223)/365),B223,I223,C223)</f>
        <v>0.15842437744140625</v>
      </c>
      <c r="P223" s="77">
        <f>ImpliedPutVolatility(F223,H223,((D223)/365),B223,J223,C223)</f>
        <v>0.18627166748046875</v>
      </c>
      <c r="Q223" t="str">
        <f t="shared" si="43"/>
        <v>Buy</v>
      </c>
      <c r="R223">
        <f t="shared" si="44"/>
        <v>269.5</v>
      </c>
      <c r="S223">
        <f t="shared" si="45"/>
        <v>27188.5</v>
      </c>
      <c r="T223">
        <f t="shared" si="46"/>
        <v>26649.5</v>
      </c>
      <c r="U223" s="36">
        <v>0.63541666666666663</v>
      </c>
      <c r="V223">
        <v>26848</v>
      </c>
      <c r="X223" t="s">
        <v>68</v>
      </c>
      <c r="Y223" s="72">
        <f>SUM(N204:N223)</f>
        <v>154</v>
      </c>
      <c r="AB223">
        <v>26919</v>
      </c>
      <c r="AC223">
        <v>26776</v>
      </c>
      <c r="AE223">
        <f t="shared" si="15"/>
        <v>-143</v>
      </c>
      <c r="AF223">
        <f t="shared" si="47"/>
        <v>4292</v>
      </c>
      <c r="AG223">
        <f>SUM(AE204:AE223)</f>
        <v>787</v>
      </c>
      <c r="AI223">
        <f t="shared" si="38"/>
        <v>12000</v>
      </c>
      <c r="AJ223">
        <f t="shared" si="39"/>
        <v>-28600</v>
      </c>
      <c r="AL223">
        <f t="shared" si="40"/>
        <v>-16600</v>
      </c>
      <c r="AM223">
        <f t="shared" si="41"/>
        <v>5166200</v>
      </c>
      <c r="AN223">
        <f>AM223-AM203</f>
        <v>465400</v>
      </c>
    </row>
    <row r="224" spans="1:40">
      <c r="B224" s="63">
        <v>0.1</v>
      </c>
      <c r="C224" s="63">
        <v>0</v>
      </c>
      <c r="D224" s="64">
        <v>4</v>
      </c>
      <c r="E224" s="37">
        <v>43437</v>
      </c>
      <c r="F224">
        <v>26890</v>
      </c>
      <c r="G224">
        <v>26900</v>
      </c>
      <c r="H224">
        <v>26900</v>
      </c>
      <c r="I224">
        <v>202</v>
      </c>
      <c r="J224">
        <v>206</v>
      </c>
      <c r="K224" s="36">
        <v>0.63541666666666663</v>
      </c>
      <c r="L224">
        <v>193</v>
      </c>
      <c r="M224">
        <v>192</v>
      </c>
      <c r="N224" s="43">
        <f t="shared" si="42"/>
        <v>23</v>
      </c>
      <c r="O224" s="77">
        <f>ImpliedCallVolatility(F224,G224,((D224)/365),B224,I224,C224)</f>
        <v>0.17116546630859375</v>
      </c>
      <c r="P224" s="77">
        <f>ImpliedPutVolatility(F224,H224,((D224)/365),B224,J224,C224)</f>
        <v>0.19207000732421875</v>
      </c>
      <c r="Q224" t="str">
        <f t="shared" si="43"/>
        <v>Buy</v>
      </c>
      <c r="R224">
        <f t="shared" si="44"/>
        <v>285.59999999999997</v>
      </c>
      <c r="S224">
        <f t="shared" si="45"/>
        <v>27175.599999999999</v>
      </c>
      <c r="T224">
        <f t="shared" si="46"/>
        <v>26604.400000000001</v>
      </c>
      <c r="U224" s="36">
        <v>0.63541666666666663</v>
      </c>
      <c r="V224">
        <v>26860</v>
      </c>
      <c r="AB224">
        <v>26889</v>
      </c>
      <c r="AC224">
        <v>26859</v>
      </c>
      <c r="AE224">
        <f t="shared" si="15"/>
        <v>-30</v>
      </c>
      <c r="AF224">
        <f t="shared" si="47"/>
        <v>4262</v>
      </c>
      <c r="AI224">
        <f t="shared" si="38"/>
        <v>46000</v>
      </c>
      <c r="AJ224">
        <f t="shared" si="39"/>
        <v>-6000</v>
      </c>
      <c r="AL224">
        <f t="shared" si="40"/>
        <v>40000</v>
      </c>
      <c r="AM224">
        <f t="shared" si="41"/>
        <v>5206200</v>
      </c>
    </row>
    <row r="225" spans="1:39">
      <c r="B225" s="63">
        <v>0.1</v>
      </c>
      <c r="C225" s="63">
        <v>0</v>
      </c>
      <c r="D225" s="64">
        <v>3</v>
      </c>
      <c r="E225" s="37">
        <v>43438</v>
      </c>
      <c r="F225">
        <v>26735</v>
      </c>
      <c r="G225">
        <v>26800</v>
      </c>
      <c r="H225">
        <v>26800</v>
      </c>
      <c r="I225">
        <v>175</v>
      </c>
      <c r="J225">
        <v>187</v>
      </c>
      <c r="K225" s="36">
        <v>0.63541666666666663</v>
      </c>
      <c r="L225">
        <v>131</v>
      </c>
      <c r="M225">
        <v>184</v>
      </c>
      <c r="N225" s="43">
        <f t="shared" si="42"/>
        <v>47</v>
      </c>
      <c r="O225" s="77">
        <f>ImpliedCallVolatility(F225,G225,((D225)/365),B225,I225,C225)</f>
        <v>0.20229339599609375</v>
      </c>
      <c r="P225" s="77">
        <f>ImpliedPutVolatility(F225,H225,((D225)/365),B225,J225,C225)</f>
        <v>0.17009735107421875</v>
      </c>
      <c r="Q225" t="str">
        <f t="shared" si="43"/>
        <v>Sell</v>
      </c>
      <c r="R225">
        <f t="shared" si="44"/>
        <v>253.39999999999998</v>
      </c>
      <c r="S225">
        <f t="shared" si="45"/>
        <v>26988.400000000001</v>
      </c>
      <c r="T225">
        <f t="shared" si="46"/>
        <v>26481.599999999999</v>
      </c>
      <c r="U225" s="36">
        <v>0.63541666666666663</v>
      </c>
      <c r="V225">
        <v>26698</v>
      </c>
      <c r="AB225">
        <v>26698</v>
      </c>
      <c r="AC225">
        <v>26734</v>
      </c>
      <c r="AE225">
        <f t="shared" si="15"/>
        <v>36</v>
      </c>
      <c r="AF225">
        <f t="shared" si="47"/>
        <v>4298</v>
      </c>
      <c r="AI225">
        <f t="shared" si="38"/>
        <v>94000</v>
      </c>
      <c r="AJ225">
        <f t="shared" si="39"/>
        <v>7200</v>
      </c>
      <c r="AL225">
        <f t="shared" si="40"/>
        <v>101200</v>
      </c>
      <c r="AM225">
        <f t="shared" si="41"/>
        <v>5307400</v>
      </c>
    </row>
    <row r="226" spans="1:39">
      <c r="A226" t="s">
        <v>57</v>
      </c>
      <c r="B226" s="63">
        <v>0.1</v>
      </c>
      <c r="C226" s="63">
        <v>0</v>
      </c>
      <c r="D226" s="64">
        <v>2</v>
      </c>
      <c r="E226" s="37">
        <v>43439</v>
      </c>
      <c r="F226">
        <v>26539</v>
      </c>
      <c r="G226">
        <v>26600</v>
      </c>
      <c r="H226">
        <v>26500</v>
      </c>
      <c r="I226">
        <v>114</v>
      </c>
      <c r="J226">
        <v>113</v>
      </c>
      <c r="K226" s="36">
        <v>0.63541666666666663</v>
      </c>
      <c r="L226">
        <v>78</v>
      </c>
      <c r="M226">
        <v>67</v>
      </c>
      <c r="N226" s="43">
        <f t="shared" si="42"/>
        <v>82</v>
      </c>
      <c r="O226" s="77">
        <f>ImpliedCallVolatility(F226,G226,((D226)/365),B226,I226,C226)</f>
        <v>0.17330169677734375</v>
      </c>
      <c r="P226" s="77">
        <f>ImpliedPutVolatility(F226,H226,((D226)/365),B226,J226,C226)</f>
        <v>0.17642974853515625</v>
      </c>
      <c r="Q226" t="str">
        <f t="shared" si="43"/>
        <v>Buy</v>
      </c>
      <c r="R226">
        <f t="shared" si="44"/>
        <v>158.89999999999998</v>
      </c>
      <c r="S226">
        <f t="shared" si="45"/>
        <v>26697.9</v>
      </c>
      <c r="T226">
        <f t="shared" si="46"/>
        <v>26380.1</v>
      </c>
      <c r="U226" s="36">
        <v>0.63541666666666663</v>
      </c>
      <c r="V226">
        <v>26520</v>
      </c>
      <c r="AB226">
        <v>26539</v>
      </c>
      <c r="AC226">
        <v>26520</v>
      </c>
      <c r="AE226">
        <f t="shared" si="15"/>
        <v>-19</v>
      </c>
      <c r="AF226">
        <f t="shared" si="47"/>
        <v>4279</v>
      </c>
      <c r="AI226">
        <f t="shared" si="38"/>
        <v>164000</v>
      </c>
      <c r="AJ226">
        <f t="shared" si="39"/>
        <v>-3800</v>
      </c>
      <c r="AL226">
        <f t="shared" si="40"/>
        <v>160200</v>
      </c>
      <c r="AM226">
        <f t="shared" si="41"/>
        <v>5467600</v>
      </c>
    </row>
    <row r="227" spans="1:39" ht="13.5" thickBot="1">
      <c r="A227" t="s">
        <v>58</v>
      </c>
      <c r="B227" s="63">
        <v>0.1</v>
      </c>
      <c r="C227" s="63">
        <v>0</v>
      </c>
      <c r="D227" s="64">
        <v>1</v>
      </c>
      <c r="E227" s="50">
        <v>43440</v>
      </c>
      <c r="F227">
        <v>26295</v>
      </c>
      <c r="G227">
        <v>26700</v>
      </c>
      <c r="H227">
        <v>26000</v>
      </c>
      <c r="I227">
        <v>145</v>
      </c>
      <c r="J227">
        <v>163</v>
      </c>
      <c r="K227" s="36">
        <v>0.63541666666666663</v>
      </c>
      <c r="L227">
        <v>117</v>
      </c>
      <c r="M227">
        <v>231</v>
      </c>
      <c r="N227" s="43">
        <f t="shared" si="42"/>
        <v>-40</v>
      </c>
      <c r="O227" s="77">
        <f>ImpliedCallVolatility(F227,G227,((D227)/365),B227,I227,C227)</f>
        <v>0.54821014404296875</v>
      </c>
      <c r="P227" s="77">
        <f>ImpliedPutVolatility(F227,H227,((D227)/365),B227,J227,C227)</f>
        <v>0.52997589111328125</v>
      </c>
      <c r="Q227" t="str">
        <f t="shared" si="43"/>
        <v>Sell</v>
      </c>
      <c r="R227">
        <f t="shared" si="44"/>
        <v>215.6</v>
      </c>
      <c r="S227">
        <f t="shared" si="45"/>
        <v>26510.6</v>
      </c>
      <c r="T227">
        <f t="shared" si="46"/>
        <v>26079.4</v>
      </c>
      <c r="U227" s="36">
        <v>0.63541666666666663</v>
      </c>
      <c r="V227">
        <v>26195</v>
      </c>
      <c r="AB227">
        <v>26311</v>
      </c>
      <c r="AC227">
        <v>26294</v>
      </c>
      <c r="AE227">
        <f t="shared" si="15"/>
        <v>-17</v>
      </c>
      <c r="AF227">
        <f t="shared" si="47"/>
        <v>4262</v>
      </c>
      <c r="AI227">
        <f t="shared" si="38"/>
        <v>-80000</v>
      </c>
      <c r="AJ227">
        <f t="shared" si="39"/>
        <v>-3400</v>
      </c>
      <c r="AL227">
        <f t="shared" si="40"/>
        <v>-83400</v>
      </c>
      <c r="AM227">
        <f t="shared" si="41"/>
        <v>5384200</v>
      </c>
    </row>
    <row r="228" spans="1:39">
      <c r="A228" s="52"/>
      <c r="B228" s="63">
        <v>0.1</v>
      </c>
      <c r="C228" s="63">
        <v>0</v>
      </c>
      <c r="D228" s="64">
        <v>5</v>
      </c>
      <c r="E228" s="37">
        <v>43441</v>
      </c>
      <c r="F228" s="52">
        <v>26337</v>
      </c>
      <c r="G228" s="52">
        <v>26400</v>
      </c>
      <c r="H228" s="52">
        <v>26200</v>
      </c>
      <c r="I228" s="52">
        <v>292</v>
      </c>
      <c r="J228" s="52">
        <v>251</v>
      </c>
      <c r="K228" s="53">
        <v>0.63541666666666663</v>
      </c>
      <c r="L228" s="52">
        <v>386</v>
      </c>
      <c r="M228" s="52">
        <v>162</v>
      </c>
      <c r="N228" s="43">
        <f t="shared" si="42"/>
        <v>-5</v>
      </c>
      <c r="O228" s="77">
        <f>ImpliedCallVolatility(F228,G228,((D228)/365),B228,I228,C228)</f>
        <v>0.24806976318359375</v>
      </c>
      <c r="P228" s="77">
        <f>ImpliedPutVolatility(F228,H228,((D228)/365),B228,J228,C228)</f>
        <v>0.26943206787109375</v>
      </c>
      <c r="Q228" t="str">
        <f t="shared" si="43"/>
        <v>Buy</v>
      </c>
      <c r="R228">
        <f t="shared" si="44"/>
        <v>380.09999999999997</v>
      </c>
      <c r="S228">
        <f t="shared" si="45"/>
        <v>26717.1</v>
      </c>
      <c r="T228">
        <f t="shared" si="46"/>
        <v>25956.9</v>
      </c>
      <c r="U228" s="36">
        <v>0.63541666666666663</v>
      </c>
      <c r="V228">
        <v>26604</v>
      </c>
      <c r="AB228">
        <v>26337</v>
      </c>
      <c r="AC228">
        <v>26601</v>
      </c>
      <c r="AE228">
        <f t="shared" si="15"/>
        <v>264</v>
      </c>
      <c r="AF228">
        <f t="shared" si="47"/>
        <v>4526</v>
      </c>
      <c r="AI228">
        <f t="shared" si="38"/>
        <v>-10000</v>
      </c>
      <c r="AJ228">
        <f t="shared" si="39"/>
        <v>52800</v>
      </c>
      <c r="AL228">
        <f t="shared" si="40"/>
        <v>42800</v>
      </c>
      <c r="AM228">
        <f t="shared" si="41"/>
        <v>5427000</v>
      </c>
    </row>
    <row r="229" spans="1:39">
      <c r="B229" s="63">
        <v>0.1</v>
      </c>
      <c r="C229" s="63">
        <v>0</v>
      </c>
      <c r="D229" s="64">
        <v>4</v>
      </c>
      <c r="E229" s="37">
        <v>43444</v>
      </c>
      <c r="F229">
        <v>26205</v>
      </c>
      <c r="G229">
        <v>26400</v>
      </c>
      <c r="H229">
        <v>26100</v>
      </c>
      <c r="I229">
        <v>215</v>
      </c>
      <c r="J229">
        <v>237</v>
      </c>
      <c r="K229" s="36">
        <v>0.63541666666666663</v>
      </c>
      <c r="L229">
        <v>213</v>
      </c>
      <c r="M229">
        <v>301</v>
      </c>
      <c r="N229" s="43">
        <f t="shared" si="42"/>
        <v>-62</v>
      </c>
      <c r="O229" s="77">
        <f>ImpliedCallVolatility(F229,G229,((D229)/365),B229,I229,C229)</f>
        <v>0.26462554931640625</v>
      </c>
      <c r="P229" s="77">
        <f>ImpliedPutVolatility(F229,H229,((D229)/365),B229,J229,C229)</f>
        <v>0.27393341064453125</v>
      </c>
      <c r="Q229" t="str">
        <f t="shared" si="43"/>
        <v>Buy</v>
      </c>
      <c r="R229">
        <f t="shared" si="44"/>
        <v>316.39999999999998</v>
      </c>
      <c r="S229">
        <f t="shared" si="45"/>
        <v>26521.4</v>
      </c>
      <c r="T229">
        <f t="shared" si="46"/>
        <v>25888.6</v>
      </c>
      <c r="U229" s="36">
        <v>0.63541666666666663</v>
      </c>
      <c r="V229">
        <v>26113</v>
      </c>
      <c r="AB229">
        <v>26205</v>
      </c>
      <c r="AC229">
        <v>26113</v>
      </c>
      <c r="AE229">
        <f t="shared" si="15"/>
        <v>-92</v>
      </c>
      <c r="AF229">
        <f t="shared" si="47"/>
        <v>4434</v>
      </c>
      <c r="AI229">
        <f t="shared" si="38"/>
        <v>-124000</v>
      </c>
      <c r="AJ229">
        <f t="shared" si="39"/>
        <v>-18400</v>
      </c>
      <c r="AL229">
        <f t="shared" si="40"/>
        <v>-142400</v>
      </c>
      <c r="AM229">
        <f t="shared" si="41"/>
        <v>5284600</v>
      </c>
    </row>
    <row r="230" spans="1:39">
      <c r="B230" s="63">
        <v>0.1</v>
      </c>
      <c r="C230" s="63">
        <v>0</v>
      </c>
      <c r="D230" s="64">
        <v>3</v>
      </c>
      <c r="E230" s="37">
        <v>43445</v>
      </c>
      <c r="F230">
        <v>25652</v>
      </c>
      <c r="G230">
        <v>25800</v>
      </c>
      <c r="H230">
        <v>25600</v>
      </c>
      <c r="I230">
        <v>252</v>
      </c>
      <c r="J230">
        <v>288</v>
      </c>
      <c r="K230" s="36">
        <v>0.47222222222222227</v>
      </c>
      <c r="L230">
        <v>274</v>
      </c>
      <c r="M230">
        <v>141</v>
      </c>
      <c r="N230" s="43">
        <f>(I230+J230)-(L230+M230)</f>
        <v>125</v>
      </c>
      <c r="O230" s="77">
        <f>ImpliedCallVolatility(F230,G230,((D230)/365),B230,I230,C230)</f>
        <v>0.33473968505859375</v>
      </c>
      <c r="P230" s="77">
        <f>ImpliedPutVolatility(F230,H230,((D230)/365),B230,J230,C230)</f>
        <v>0.34885406494140625</v>
      </c>
      <c r="Q230" t="str">
        <f t="shared" si="43"/>
        <v>Buy</v>
      </c>
      <c r="R230">
        <f t="shared" si="44"/>
        <v>378</v>
      </c>
      <c r="S230">
        <f t="shared" si="45"/>
        <v>26030</v>
      </c>
      <c r="T230">
        <f t="shared" si="46"/>
        <v>25274</v>
      </c>
      <c r="U230" s="36">
        <v>0.46875</v>
      </c>
      <c r="V230">
        <v>25908</v>
      </c>
      <c r="AB230">
        <v>25651</v>
      </c>
      <c r="AC230">
        <v>26138</v>
      </c>
      <c r="AE230">
        <f t="shared" si="15"/>
        <v>487</v>
      </c>
      <c r="AF230">
        <f t="shared" si="47"/>
        <v>4921</v>
      </c>
      <c r="AI230">
        <f t="shared" si="38"/>
        <v>250000</v>
      </c>
      <c r="AJ230">
        <f t="shared" si="39"/>
        <v>97400</v>
      </c>
      <c r="AL230">
        <f t="shared" si="40"/>
        <v>347400</v>
      </c>
      <c r="AM230">
        <f t="shared" si="41"/>
        <v>5632000</v>
      </c>
    </row>
    <row r="231" spans="1:39">
      <c r="A231" t="s">
        <v>57</v>
      </c>
      <c r="B231" s="63">
        <v>0.1</v>
      </c>
      <c r="C231" s="63">
        <v>0</v>
      </c>
      <c r="D231" s="64">
        <v>2</v>
      </c>
      <c r="E231" s="37">
        <v>43446</v>
      </c>
      <c r="F231">
        <v>26380</v>
      </c>
      <c r="G231">
        <v>26400</v>
      </c>
      <c r="H231">
        <v>26400</v>
      </c>
      <c r="I231">
        <v>127</v>
      </c>
      <c r="J231">
        <v>148</v>
      </c>
      <c r="K231" s="36">
        <v>0.57638888888888895</v>
      </c>
      <c r="L231">
        <v>204</v>
      </c>
      <c r="M231">
        <v>42</v>
      </c>
      <c r="N231" s="43">
        <f>(I231+J231)-(L231+M231)</f>
        <v>29</v>
      </c>
      <c r="O231" s="77">
        <f>ImpliedCallVolatility(F231,G231,((D231)/365),B231,I231,C231)</f>
        <v>0.16651153564453125</v>
      </c>
      <c r="P231" s="77">
        <f>ImpliedPutVolatility(F231,H231,((D231)/365),B231,J231,C231)</f>
        <v>0.18634796142578125</v>
      </c>
      <c r="Q231" t="str">
        <f t="shared" si="43"/>
        <v>Buy</v>
      </c>
      <c r="R231">
        <f t="shared" si="44"/>
        <v>192.5</v>
      </c>
      <c r="S231">
        <f t="shared" si="45"/>
        <v>26572.5</v>
      </c>
      <c r="T231">
        <f t="shared" si="46"/>
        <v>26187.5</v>
      </c>
      <c r="U231" s="36">
        <v>0.61458333333333337</v>
      </c>
      <c r="V231">
        <v>26603</v>
      </c>
      <c r="W231">
        <v>26641</v>
      </c>
      <c r="X231">
        <f>ABS(V231-W231)</f>
        <v>38</v>
      </c>
      <c r="AB231">
        <v>26380</v>
      </c>
      <c r="AC231">
        <v>26640</v>
      </c>
      <c r="AE231">
        <f t="shared" si="15"/>
        <v>260</v>
      </c>
      <c r="AF231">
        <f t="shared" si="47"/>
        <v>5181</v>
      </c>
      <c r="AI231">
        <f t="shared" si="38"/>
        <v>58000</v>
      </c>
      <c r="AJ231">
        <f t="shared" si="39"/>
        <v>52000</v>
      </c>
      <c r="AL231">
        <f t="shared" si="40"/>
        <v>110000</v>
      </c>
      <c r="AM231">
        <f t="shared" si="41"/>
        <v>5742000</v>
      </c>
    </row>
    <row r="232" spans="1:39" ht="13.5" thickBot="1">
      <c r="A232" t="s">
        <v>58</v>
      </c>
      <c r="B232" s="63">
        <v>0.1</v>
      </c>
      <c r="C232" s="63">
        <v>0</v>
      </c>
      <c r="D232" s="64">
        <v>1</v>
      </c>
      <c r="E232" s="50">
        <v>43447</v>
      </c>
      <c r="F232">
        <v>26884</v>
      </c>
      <c r="G232">
        <v>27200</v>
      </c>
      <c r="H232">
        <v>26600</v>
      </c>
      <c r="I232">
        <v>98</v>
      </c>
      <c r="J232">
        <v>90</v>
      </c>
      <c r="K232" s="36">
        <v>0.63541666666666663</v>
      </c>
      <c r="L232">
        <v>81</v>
      </c>
      <c r="M232">
        <v>104</v>
      </c>
      <c r="N232" s="43">
        <f>(I232+J232)-(L232+M232)</f>
        <v>3</v>
      </c>
      <c r="O232" s="77">
        <f>ImpliedCallVolatility(F232,G232,((D232)/365),B232,I232,C232)</f>
        <v>0.38700103759765625</v>
      </c>
      <c r="P232" s="77">
        <f>ImpliedPutVolatility(F232,H232,((D232)/365),B232,J232,C232)</f>
        <v>0.36411285400390625</v>
      </c>
      <c r="Q232" t="str">
        <f t="shared" si="43"/>
        <v>Sell</v>
      </c>
      <c r="R232">
        <f t="shared" si="44"/>
        <v>131.6</v>
      </c>
      <c r="S232">
        <f t="shared" si="45"/>
        <v>27015.599999999999</v>
      </c>
      <c r="T232">
        <f t="shared" si="46"/>
        <v>26752.400000000001</v>
      </c>
      <c r="U232" s="36">
        <v>0.63541666666666663</v>
      </c>
      <c r="V232">
        <v>26817</v>
      </c>
      <c r="AB232">
        <v>26790</v>
      </c>
      <c r="AC232">
        <v>26883</v>
      </c>
      <c r="AE232">
        <f t="shared" si="15"/>
        <v>93</v>
      </c>
      <c r="AF232">
        <f t="shared" si="47"/>
        <v>5274</v>
      </c>
      <c r="AI232">
        <f t="shared" si="38"/>
        <v>6000</v>
      </c>
      <c r="AJ232">
        <f t="shared" si="39"/>
        <v>18600</v>
      </c>
      <c r="AL232">
        <f t="shared" si="40"/>
        <v>24600</v>
      </c>
      <c r="AM232">
        <f t="shared" si="41"/>
        <v>5766600</v>
      </c>
    </row>
    <row r="233" spans="1:39">
      <c r="B233" s="63">
        <v>0.1</v>
      </c>
      <c r="C233" s="63">
        <v>0</v>
      </c>
      <c r="D233" s="64">
        <v>5</v>
      </c>
      <c r="E233" s="34">
        <v>43448</v>
      </c>
      <c r="F233">
        <v>26777</v>
      </c>
      <c r="G233">
        <v>26800</v>
      </c>
      <c r="H233">
        <v>26700</v>
      </c>
      <c r="I233">
        <v>195</v>
      </c>
      <c r="J233">
        <v>188</v>
      </c>
      <c r="K233" s="36">
        <v>0.63541666666666663</v>
      </c>
      <c r="L233">
        <v>210</v>
      </c>
      <c r="M233">
        <v>148</v>
      </c>
      <c r="N233" s="43">
        <f>(I233+J233)-(L233+M233)</f>
        <v>25</v>
      </c>
      <c r="O233" s="77">
        <f>ImpliedCallVolatility(F233,G233,((D233)/365),B233,I233,C233)</f>
        <v>0.15048980712890625</v>
      </c>
      <c r="P233" s="77">
        <f>ImpliedPutVolatility(F233,H233,((D233)/365),B233,J233,C233)</f>
        <v>0.19275665283203125</v>
      </c>
      <c r="Q233" t="str">
        <f t="shared" si="43"/>
        <v>Buy</v>
      </c>
      <c r="R233">
        <f t="shared" si="44"/>
        <v>268.09999999999997</v>
      </c>
      <c r="S233">
        <f t="shared" si="45"/>
        <v>27045.1</v>
      </c>
      <c r="T233">
        <f t="shared" si="46"/>
        <v>26508.9</v>
      </c>
      <c r="U233" s="36">
        <v>0.63541666666666663</v>
      </c>
      <c r="V233">
        <v>26835</v>
      </c>
      <c r="AB233">
        <v>26776</v>
      </c>
      <c r="AC233">
        <v>26835</v>
      </c>
      <c r="AE233">
        <f t="shared" si="15"/>
        <v>59</v>
      </c>
      <c r="AF233">
        <f t="shared" si="47"/>
        <v>5333</v>
      </c>
      <c r="AI233">
        <f t="shared" si="38"/>
        <v>50000</v>
      </c>
      <c r="AJ233">
        <f t="shared" si="39"/>
        <v>11800</v>
      </c>
      <c r="AL233">
        <f t="shared" si="40"/>
        <v>61800</v>
      </c>
      <c r="AM233">
        <f t="shared" si="41"/>
        <v>5828400</v>
      </c>
    </row>
    <row r="234" spans="1:39">
      <c r="B234" s="63">
        <v>0.1</v>
      </c>
      <c r="C234" s="63">
        <v>0</v>
      </c>
      <c r="D234" s="64">
        <v>4</v>
      </c>
      <c r="E234" s="37">
        <v>43451</v>
      </c>
      <c r="F234">
        <v>26965</v>
      </c>
      <c r="G234">
        <v>27000</v>
      </c>
      <c r="H234">
        <v>27000</v>
      </c>
      <c r="I234">
        <v>168</v>
      </c>
      <c r="J234">
        <v>181</v>
      </c>
      <c r="K234" s="36">
        <v>0.63541666666666663</v>
      </c>
      <c r="L234">
        <v>174</v>
      </c>
      <c r="M234">
        <v>148</v>
      </c>
      <c r="N234" s="43">
        <f t="shared" ref="N234:N295" si="48">(I234+J234)-(L234+M234)</f>
        <v>27</v>
      </c>
      <c r="O234" s="77">
        <f>ImpliedCallVolatility(F234,G234,((D234)/365),B234,I234,C234)</f>
        <v>0.15155792236328125</v>
      </c>
      <c r="P234" s="77">
        <f>ImpliedPutVolatility(F234,H234,((D234)/365),B234,J234,C234)</f>
        <v>0.15827178955078125</v>
      </c>
      <c r="Q234" t="str">
        <f t="shared" si="43"/>
        <v>Buy</v>
      </c>
      <c r="R234">
        <f t="shared" si="44"/>
        <v>244.29999999999998</v>
      </c>
      <c r="S234">
        <f t="shared" si="45"/>
        <v>27209.3</v>
      </c>
      <c r="T234">
        <f t="shared" si="46"/>
        <v>26720.7</v>
      </c>
      <c r="U234" s="36">
        <v>0.63541666666666663</v>
      </c>
      <c r="V234">
        <v>27019</v>
      </c>
      <c r="AB234">
        <v>26965</v>
      </c>
      <c r="AC234">
        <v>27019</v>
      </c>
      <c r="AE234">
        <f t="shared" si="15"/>
        <v>54</v>
      </c>
      <c r="AF234">
        <f t="shared" si="47"/>
        <v>5387</v>
      </c>
      <c r="AI234">
        <f t="shared" si="38"/>
        <v>54000</v>
      </c>
      <c r="AJ234">
        <f t="shared" si="39"/>
        <v>10800</v>
      </c>
      <c r="AL234">
        <f t="shared" si="40"/>
        <v>64800</v>
      </c>
      <c r="AM234">
        <f t="shared" si="41"/>
        <v>5893200</v>
      </c>
    </row>
    <row r="235" spans="1:39">
      <c r="B235" s="63">
        <v>0.1</v>
      </c>
      <c r="C235" s="63">
        <v>0</v>
      </c>
      <c r="D235" s="64">
        <v>3</v>
      </c>
      <c r="E235" s="37">
        <v>43452</v>
      </c>
      <c r="F235">
        <v>26873</v>
      </c>
      <c r="G235">
        <v>26900</v>
      </c>
      <c r="H235">
        <v>26900</v>
      </c>
      <c r="I235">
        <v>153</v>
      </c>
      <c r="J235">
        <v>140</v>
      </c>
      <c r="K235" s="36">
        <v>0.60416666666666663</v>
      </c>
      <c r="L235">
        <v>279</v>
      </c>
      <c r="M235">
        <v>61</v>
      </c>
      <c r="N235" s="43">
        <f t="shared" si="48"/>
        <v>-47</v>
      </c>
      <c r="O235" s="77">
        <f>ImpliedCallVolatility(F235,G235,((D235)/365),B235,I235,C235)</f>
        <v>0.15987396240234375</v>
      </c>
      <c r="P235" s="77">
        <f>ImpliedPutVolatility(F235,H235,((D235)/365),B235,J235,C235)</f>
        <v>0.14148712158203125</v>
      </c>
      <c r="Q235" t="str">
        <f t="shared" si="43"/>
        <v>Sell</v>
      </c>
      <c r="R235">
        <f t="shared" si="44"/>
        <v>205.1</v>
      </c>
      <c r="S235">
        <f t="shared" si="45"/>
        <v>27078.1</v>
      </c>
      <c r="T235">
        <f t="shared" si="46"/>
        <v>26667.9</v>
      </c>
      <c r="U235" s="36">
        <v>0.60416666666666663</v>
      </c>
      <c r="V235">
        <v>27076</v>
      </c>
      <c r="W235">
        <v>27189</v>
      </c>
      <c r="X235">
        <f>ABS(V235-W235)</f>
        <v>113</v>
      </c>
      <c r="AB235">
        <v>26985</v>
      </c>
      <c r="AC235">
        <v>26872</v>
      </c>
      <c r="AE235">
        <f t="shared" si="15"/>
        <v>-113</v>
      </c>
      <c r="AF235">
        <f t="shared" si="47"/>
        <v>5274</v>
      </c>
      <c r="AI235">
        <f t="shared" si="38"/>
        <v>-94000</v>
      </c>
      <c r="AJ235">
        <f t="shared" si="39"/>
        <v>-22600</v>
      </c>
      <c r="AL235">
        <f t="shared" si="40"/>
        <v>-116600</v>
      </c>
      <c r="AM235">
        <f t="shared" si="41"/>
        <v>5776600</v>
      </c>
    </row>
    <row r="236" spans="1:39">
      <c r="A236" t="s">
        <v>57</v>
      </c>
      <c r="B236" s="63">
        <v>0.1</v>
      </c>
      <c r="C236" s="63">
        <v>0</v>
      </c>
      <c r="D236" s="64">
        <v>2</v>
      </c>
      <c r="E236" s="37">
        <v>43453</v>
      </c>
      <c r="F236">
        <v>27315</v>
      </c>
      <c r="G236">
        <v>27400</v>
      </c>
      <c r="H236">
        <v>27300</v>
      </c>
      <c r="I236">
        <v>89</v>
      </c>
      <c r="J236">
        <v>107</v>
      </c>
      <c r="K236" s="36">
        <v>0.63541666666666663</v>
      </c>
      <c r="L236">
        <v>77</v>
      </c>
      <c r="M236">
        <v>107</v>
      </c>
      <c r="N236" s="43">
        <f t="shared" si="48"/>
        <v>12</v>
      </c>
      <c r="O236" s="77">
        <f>ImpliedCallVolatility(F236,G236,((D236)/365),B236,I236,C236)</f>
        <v>0.14957427978515625</v>
      </c>
      <c r="P236" s="77">
        <f>ImpliedPutVolatility(F236,H236,((D236)/365),B236,J236,C236)</f>
        <v>0.15056610107421875</v>
      </c>
      <c r="Q236" t="str">
        <f t="shared" si="43"/>
        <v>Buy</v>
      </c>
      <c r="R236">
        <f t="shared" si="44"/>
        <v>137.19999999999999</v>
      </c>
      <c r="S236">
        <f t="shared" si="45"/>
        <v>27452.2</v>
      </c>
      <c r="T236">
        <f t="shared" si="46"/>
        <v>27177.8</v>
      </c>
      <c r="U236" s="36">
        <v>0.63541666666666663</v>
      </c>
      <c r="V236">
        <v>27300</v>
      </c>
      <c r="AB236">
        <v>27315</v>
      </c>
      <c r="AC236">
        <v>27299</v>
      </c>
      <c r="AE236">
        <f t="shared" si="15"/>
        <v>-16</v>
      </c>
      <c r="AF236">
        <f t="shared" si="47"/>
        <v>5258</v>
      </c>
      <c r="AI236">
        <f t="shared" si="38"/>
        <v>24000</v>
      </c>
      <c r="AJ236">
        <f t="shared" si="39"/>
        <v>-3200</v>
      </c>
      <c r="AL236">
        <f t="shared" si="40"/>
        <v>20800</v>
      </c>
      <c r="AM236">
        <f t="shared" si="41"/>
        <v>5797400</v>
      </c>
    </row>
    <row r="237" spans="1:39" ht="13.5" thickBot="1">
      <c r="A237" t="s">
        <v>58</v>
      </c>
      <c r="B237" s="63">
        <v>0.1</v>
      </c>
      <c r="C237" s="63">
        <v>0</v>
      </c>
      <c r="D237" s="64">
        <v>1</v>
      </c>
      <c r="E237" s="50">
        <v>43454</v>
      </c>
      <c r="F237">
        <v>27195</v>
      </c>
      <c r="G237">
        <v>27500</v>
      </c>
      <c r="H237">
        <v>26900</v>
      </c>
      <c r="I237">
        <v>92</v>
      </c>
      <c r="J237">
        <v>79</v>
      </c>
      <c r="K237" s="36">
        <v>0.63541666666666663</v>
      </c>
      <c r="L237">
        <v>124</v>
      </c>
      <c r="M237">
        <v>54</v>
      </c>
      <c r="N237" s="43">
        <f t="shared" si="48"/>
        <v>-7</v>
      </c>
      <c r="O237" s="77">
        <f>ImpliedCallVolatility(F237,G237,((D237)/365),B237,I237,C237)</f>
        <v>0.36380767822265625</v>
      </c>
      <c r="P237" s="77">
        <f>ImpliedPutVolatility(F237,H237,((D237)/365),B237,J237,C237)</f>
        <v>0.34320831298828125</v>
      </c>
      <c r="Q237" t="str">
        <f t="shared" si="43"/>
        <v>Sell</v>
      </c>
      <c r="R237">
        <f t="shared" si="44"/>
        <v>119.69999999999999</v>
      </c>
      <c r="S237">
        <f t="shared" si="45"/>
        <v>27314.7</v>
      </c>
      <c r="T237">
        <f t="shared" si="46"/>
        <v>27075.3</v>
      </c>
      <c r="U237" s="36">
        <v>0.63541666666666663</v>
      </c>
      <c r="V237">
        <v>27291</v>
      </c>
      <c r="AB237">
        <v>27272</v>
      </c>
      <c r="AC237">
        <v>27195</v>
      </c>
      <c r="AE237">
        <f t="shared" si="15"/>
        <v>-77</v>
      </c>
      <c r="AF237">
        <f t="shared" si="47"/>
        <v>5181</v>
      </c>
      <c r="AI237">
        <f t="shared" si="38"/>
        <v>-14000</v>
      </c>
      <c r="AJ237">
        <f t="shared" si="39"/>
        <v>-15400</v>
      </c>
      <c r="AL237">
        <f t="shared" si="40"/>
        <v>-29400</v>
      </c>
      <c r="AM237">
        <f t="shared" si="41"/>
        <v>5768000</v>
      </c>
    </row>
    <row r="238" spans="1:39" ht="15">
      <c r="B238" s="63">
        <v>0.1</v>
      </c>
      <c r="C238" s="63">
        <v>0</v>
      </c>
      <c r="D238" s="64">
        <v>4</v>
      </c>
      <c r="E238" s="34">
        <v>43455</v>
      </c>
      <c r="F238">
        <v>27348</v>
      </c>
      <c r="G238">
        <v>27400</v>
      </c>
      <c r="H238">
        <v>27300</v>
      </c>
      <c r="I238">
        <v>181</v>
      </c>
      <c r="J238">
        <v>157</v>
      </c>
      <c r="K238" s="36">
        <v>0.43194444444444446</v>
      </c>
      <c r="L238">
        <v>113</v>
      </c>
      <c r="M238">
        <v>271</v>
      </c>
      <c r="N238" s="43">
        <f t="shared" si="48"/>
        <v>-46</v>
      </c>
      <c r="O238" s="77">
        <f>ImpliedCallVolatility(F238,G238,((D238)/365),B238,I238,C238)</f>
        <v>0.16788482666015625</v>
      </c>
      <c r="P238" s="77">
        <f>ImpliedPutVolatility(F238,H238,((D238)/365),B238,J238,C238)</f>
        <v>0.16963958740234375</v>
      </c>
      <c r="Q238" t="str">
        <f t="shared" si="43"/>
        <v>Buy</v>
      </c>
      <c r="R238">
        <f t="shared" si="44"/>
        <v>236.6</v>
      </c>
      <c r="S238">
        <f t="shared" si="45"/>
        <v>27584.6</v>
      </c>
      <c r="T238">
        <f t="shared" si="46"/>
        <v>27111.4</v>
      </c>
      <c r="U238" s="36">
        <v>0.4375</v>
      </c>
      <c r="V238">
        <v>27058</v>
      </c>
      <c r="W238" s="54">
        <v>26873</v>
      </c>
      <c r="X238" s="54">
        <f>ABS(V238-W238)</f>
        <v>185</v>
      </c>
      <c r="AB238">
        <v>27348</v>
      </c>
      <c r="AC238">
        <v>27148</v>
      </c>
      <c r="AE238">
        <f t="shared" si="15"/>
        <v>-200</v>
      </c>
      <c r="AF238">
        <f t="shared" si="47"/>
        <v>4981</v>
      </c>
      <c r="AI238">
        <f t="shared" si="38"/>
        <v>-92000</v>
      </c>
      <c r="AJ238">
        <f t="shared" si="39"/>
        <v>-40000</v>
      </c>
      <c r="AL238">
        <f t="shared" si="40"/>
        <v>-132000</v>
      </c>
      <c r="AM238">
        <f t="shared" si="41"/>
        <v>5636000</v>
      </c>
    </row>
    <row r="239" spans="1:39" ht="15">
      <c r="A239" s="55"/>
      <c r="B239" s="63">
        <v>0.1</v>
      </c>
      <c r="C239" s="63">
        <v>0</v>
      </c>
      <c r="D239" s="64">
        <v>3</v>
      </c>
      <c r="E239" s="56">
        <v>43458</v>
      </c>
      <c r="F239" s="55">
        <v>26922</v>
      </c>
      <c r="G239" s="55">
        <v>27000</v>
      </c>
      <c r="H239" s="55">
        <v>27000</v>
      </c>
      <c r="I239" s="55">
        <v>151</v>
      </c>
      <c r="J239" s="55">
        <v>173</v>
      </c>
      <c r="K239" s="57">
        <v>0.60763888888888895</v>
      </c>
      <c r="L239" s="55">
        <v>59</v>
      </c>
      <c r="M239" s="55">
        <v>262</v>
      </c>
      <c r="N239" s="43">
        <f t="shared" si="48"/>
        <v>3</v>
      </c>
      <c r="O239" s="77">
        <f>ImpliedCallVolatility(F239,G239,((D239)/365),B239,I239,C239)</f>
        <v>0.18215179443359375</v>
      </c>
      <c r="P239" s="77">
        <f>ImpliedPutVolatility(F239,H239,((D239)/365),B239,J239,C239)</f>
        <v>0.14705657958984375</v>
      </c>
      <c r="Q239" t="str">
        <f t="shared" si="43"/>
        <v>Sell</v>
      </c>
      <c r="R239">
        <f t="shared" si="44"/>
        <v>226.79999999999998</v>
      </c>
      <c r="S239">
        <f t="shared" si="45"/>
        <v>27148.799999999999</v>
      </c>
      <c r="T239">
        <f t="shared" si="46"/>
        <v>26695.200000000001</v>
      </c>
      <c r="U239" s="51">
        <v>0.61458333333333337</v>
      </c>
      <c r="V239">
        <v>26680</v>
      </c>
      <c r="W239">
        <v>26728</v>
      </c>
      <c r="X239" s="58">
        <f>ABS(V239-W239)</f>
        <v>48</v>
      </c>
      <c r="AB239">
        <v>26728</v>
      </c>
      <c r="AC239">
        <v>26922</v>
      </c>
      <c r="AE239">
        <f t="shared" si="15"/>
        <v>194</v>
      </c>
      <c r="AF239">
        <f t="shared" si="47"/>
        <v>5175</v>
      </c>
      <c r="AI239">
        <f t="shared" si="38"/>
        <v>6000</v>
      </c>
      <c r="AJ239">
        <f t="shared" si="39"/>
        <v>38800</v>
      </c>
      <c r="AL239">
        <f t="shared" si="40"/>
        <v>44800</v>
      </c>
      <c r="AM239">
        <f t="shared" si="41"/>
        <v>5680800</v>
      </c>
    </row>
    <row r="240" spans="1:39">
      <c r="A240" t="s">
        <v>57</v>
      </c>
      <c r="B240" s="63">
        <v>0.1</v>
      </c>
      <c r="C240" s="63">
        <v>0</v>
      </c>
      <c r="D240" s="64">
        <v>2</v>
      </c>
      <c r="E240" s="37">
        <v>43460</v>
      </c>
      <c r="F240">
        <v>26514</v>
      </c>
      <c r="G240">
        <v>26600</v>
      </c>
      <c r="H240">
        <v>26600</v>
      </c>
      <c r="I240">
        <v>110</v>
      </c>
      <c r="J240">
        <v>132</v>
      </c>
      <c r="K240" s="36">
        <v>0.56666666666666665</v>
      </c>
      <c r="L240">
        <v>178</v>
      </c>
      <c r="M240">
        <v>73</v>
      </c>
      <c r="N240" s="43">
        <f t="shared" si="48"/>
        <v>-9</v>
      </c>
      <c r="O240" s="77">
        <f>ImpliedCallVolatility(F240,G240,((D240)/365),B240,I240,C240)</f>
        <v>0.18222808837890625</v>
      </c>
      <c r="P240" s="77">
        <f>ImpliedPutVolatility(F240,H240,((D240)/365),B240,J240,C240)</f>
        <v>0.11722564697265625</v>
      </c>
      <c r="Q240" t="str">
        <f t="shared" si="43"/>
        <v>Sell</v>
      </c>
      <c r="R240">
        <f t="shared" si="44"/>
        <v>169.39999999999998</v>
      </c>
      <c r="S240">
        <f t="shared" si="45"/>
        <v>26683.4</v>
      </c>
      <c r="T240">
        <f t="shared" si="46"/>
        <v>26344.6</v>
      </c>
      <c r="U240" s="51">
        <v>0.57291666666666663</v>
      </c>
      <c r="V240" s="59">
        <v>26731</v>
      </c>
      <c r="AB240">
        <v>26642</v>
      </c>
      <c r="AC240">
        <v>26514</v>
      </c>
      <c r="AE240">
        <f t="shared" si="15"/>
        <v>-128</v>
      </c>
      <c r="AF240">
        <f t="shared" si="47"/>
        <v>5047</v>
      </c>
      <c r="AI240">
        <f t="shared" si="38"/>
        <v>-18000</v>
      </c>
      <c r="AJ240">
        <f t="shared" si="39"/>
        <v>-25600</v>
      </c>
      <c r="AL240">
        <f t="shared" si="40"/>
        <v>-43600</v>
      </c>
      <c r="AM240">
        <f t="shared" si="41"/>
        <v>5637200</v>
      </c>
    </row>
    <row r="241" spans="1:40" ht="13.5" thickBot="1">
      <c r="A241" t="s">
        <v>58</v>
      </c>
      <c r="B241" s="63">
        <v>0.1</v>
      </c>
      <c r="C241" s="63">
        <v>0</v>
      </c>
      <c r="D241" s="64">
        <v>1</v>
      </c>
      <c r="E241" s="50">
        <v>43461</v>
      </c>
      <c r="F241">
        <v>27156</v>
      </c>
      <c r="G241">
        <v>27200</v>
      </c>
      <c r="H241">
        <v>27200</v>
      </c>
      <c r="I241">
        <v>79</v>
      </c>
      <c r="J241">
        <v>88</v>
      </c>
      <c r="K241" s="36">
        <v>0.42708333333333331</v>
      </c>
      <c r="L241">
        <v>33</v>
      </c>
      <c r="M241">
        <v>167</v>
      </c>
      <c r="N241" s="43">
        <f t="shared" si="48"/>
        <v>-33</v>
      </c>
      <c r="O241" s="77">
        <f>ImpliedCallVolatility(F241,G241,((D241)/365),B241,I241,C241)</f>
        <v>0.16948699951171875</v>
      </c>
      <c r="P241" s="77">
        <f>ImpliedPutVolatility(F241,H241,((D241)/365),B241,J241,C241)</f>
        <v>0.12012481689453125</v>
      </c>
      <c r="Q241" t="str">
        <f t="shared" si="43"/>
        <v>Sell</v>
      </c>
      <c r="R241">
        <f t="shared" si="44"/>
        <v>116.89999999999999</v>
      </c>
      <c r="S241">
        <f t="shared" si="45"/>
        <v>27272.9</v>
      </c>
      <c r="T241">
        <f t="shared" si="46"/>
        <v>27039.1</v>
      </c>
      <c r="U241" s="51">
        <v>0.42708333333333331</v>
      </c>
      <c r="V241" s="59">
        <v>26947</v>
      </c>
      <c r="AB241">
        <v>26867</v>
      </c>
      <c r="AC241">
        <v>27156</v>
      </c>
      <c r="AE241">
        <f t="shared" si="15"/>
        <v>289</v>
      </c>
      <c r="AF241">
        <f t="shared" si="47"/>
        <v>5336</v>
      </c>
      <c r="AI241">
        <f t="shared" si="38"/>
        <v>-66000</v>
      </c>
      <c r="AJ241">
        <f t="shared" si="39"/>
        <v>57800</v>
      </c>
      <c r="AL241">
        <f t="shared" si="40"/>
        <v>-8200</v>
      </c>
      <c r="AM241">
        <f t="shared" si="41"/>
        <v>5629000</v>
      </c>
    </row>
    <row r="242" spans="1:40">
      <c r="B242" s="63">
        <v>0.1</v>
      </c>
      <c r="C242" s="63">
        <v>0</v>
      </c>
      <c r="D242" s="64">
        <v>5</v>
      </c>
      <c r="E242" s="34">
        <v>43462</v>
      </c>
      <c r="F242">
        <v>27103</v>
      </c>
      <c r="G242">
        <v>27200</v>
      </c>
      <c r="H242">
        <v>27100</v>
      </c>
      <c r="I242">
        <v>177</v>
      </c>
      <c r="J242">
        <v>189</v>
      </c>
      <c r="K242" s="36">
        <v>0.63541666666666663</v>
      </c>
      <c r="L242">
        <v>177</v>
      </c>
      <c r="M242" s="32">
        <v>153</v>
      </c>
      <c r="N242" s="43">
        <f t="shared" si="48"/>
        <v>36</v>
      </c>
      <c r="O242" s="77">
        <f>ImpliedCallVolatility(F242,G242,((D242)/365),B242,I242,C242)</f>
        <v>0.16223907470703125</v>
      </c>
      <c r="P242" s="77">
        <f>ImpliedPutVolatility(F242,H242,((D242)/365),B242,J242,C242)</f>
        <v>0.16483306884765625</v>
      </c>
      <c r="Q242" t="str">
        <f t="shared" si="43"/>
        <v>Buy</v>
      </c>
      <c r="R242">
        <f t="shared" si="44"/>
        <v>256.2</v>
      </c>
      <c r="S242">
        <f t="shared" si="45"/>
        <v>27359.200000000001</v>
      </c>
      <c r="T242">
        <f t="shared" si="46"/>
        <v>26846.799999999999</v>
      </c>
      <c r="U242" s="51">
        <v>0.63541666666666663</v>
      </c>
      <c r="V242" s="60">
        <v>27116</v>
      </c>
      <c r="AB242">
        <v>27102</v>
      </c>
      <c r="AC242">
        <v>27115</v>
      </c>
      <c r="AE242">
        <f t="shared" si="15"/>
        <v>13</v>
      </c>
      <c r="AF242">
        <f t="shared" si="47"/>
        <v>5349</v>
      </c>
      <c r="AI242">
        <f t="shared" si="38"/>
        <v>72000</v>
      </c>
      <c r="AJ242">
        <f t="shared" si="39"/>
        <v>2600</v>
      </c>
      <c r="AL242">
        <f t="shared" si="40"/>
        <v>74600</v>
      </c>
      <c r="AM242">
        <f t="shared" si="41"/>
        <v>5703600</v>
      </c>
    </row>
    <row r="243" spans="1:40">
      <c r="B243" s="63">
        <v>0.1</v>
      </c>
      <c r="C243" s="63">
        <v>0</v>
      </c>
      <c r="D243" s="64">
        <v>4</v>
      </c>
      <c r="E243" s="37">
        <v>43465</v>
      </c>
      <c r="F243">
        <v>27170</v>
      </c>
      <c r="G243">
        <v>27300</v>
      </c>
      <c r="H243">
        <v>27200</v>
      </c>
      <c r="I243">
        <v>134</v>
      </c>
      <c r="J243">
        <v>165</v>
      </c>
      <c r="K243" s="36">
        <v>0.63541666666666663</v>
      </c>
      <c r="L243">
        <v>130</v>
      </c>
      <c r="M243" s="45">
        <v>150</v>
      </c>
      <c r="N243" s="43">
        <f t="shared" si="48"/>
        <v>19</v>
      </c>
      <c r="O243" s="77">
        <f>ImpliedCallVolatility(F243,G243,((D243)/365),B243,I243,C243)</f>
        <v>0.15804290771484375</v>
      </c>
      <c r="P243" s="77">
        <f>ImpliedPutVolatility(F243,H243,((D243)/365),B243,J243,C243)</f>
        <v>0.14530181884765625</v>
      </c>
      <c r="Q243" t="str">
        <f t="shared" si="43"/>
        <v>Sell</v>
      </c>
      <c r="R243">
        <f t="shared" si="44"/>
        <v>209.29999999999998</v>
      </c>
      <c r="S243">
        <f t="shared" si="45"/>
        <v>27379.3</v>
      </c>
      <c r="T243">
        <f t="shared" si="46"/>
        <v>26960.7</v>
      </c>
      <c r="U243" s="51">
        <v>0.63541666666666663</v>
      </c>
      <c r="V243" s="60">
        <v>27159</v>
      </c>
      <c r="X243" t="s">
        <v>69</v>
      </c>
      <c r="Y243" s="72">
        <f>SUM(N224:N243)</f>
        <v>182</v>
      </c>
      <c r="AB243">
        <v>27159</v>
      </c>
      <c r="AC243">
        <v>27170</v>
      </c>
      <c r="AE243">
        <f t="shared" si="15"/>
        <v>11</v>
      </c>
      <c r="AF243">
        <f t="shared" si="47"/>
        <v>5360</v>
      </c>
      <c r="AG243">
        <f>SUM(AE224:AE243)</f>
        <v>1068</v>
      </c>
      <c r="AI243">
        <f t="shared" si="38"/>
        <v>38000</v>
      </c>
      <c r="AJ243">
        <f t="shared" si="39"/>
        <v>2200</v>
      </c>
      <c r="AL243">
        <f t="shared" si="40"/>
        <v>40200</v>
      </c>
      <c r="AM243">
        <f t="shared" si="41"/>
        <v>5743800</v>
      </c>
      <c r="AN243">
        <f>AM243-AM223</f>
        <v>577600</v>
      </c>
    </row>
    <row r="244" spans="1:40">
      <c r="B244" s="63">
        <v>0.1</v>
      </c>
      <c r="C244" s="63">
        <v>0</v>
      </c>
      <c r="D244" s="64">
        <v>3</v>
      </c>
      <c r="E244" s="37">
        <v>43466</v>
      </c>
      <c r="F244">
        <v>27120</v>
      </c>
      <c r="G244">
        <v>27200</v>
      </c>
      <c r="H244">
        <v>27100</v>
      </c>
      <c r="I244">
        <v>128</v>
      </c>
      <c r="J244">
        <v>139</v>
      </c>
      <c r="K244" s="36">
        <v>0.61458333333333337</v>
      </c>
      <c r="L244">
        <v>223</v>
      </c>
      <c r="M244" s="45">
        <v>52</v>
      </c>
      <c r="N244" s="43">
        <f t="shared" si="48"/>
        <v>-8</v>
      </c>
      <c r="O244" s="77">
        <f>ImpliedCallVolatility(F244,G244,((D244)/365),B244,I244,C244)</f>
        <v>0.15796661376953125</v>
      </c>
      <c r="P244" s="77">
        <f>ImpliedPutVolatility(F244,H244,((D244)/365),B244,J244,C244)</f>
        <v>0.16246795654296875</v>
      </c>
      <c r="Q244" t="str">
        <f t="shared" si="43"/>
        <v>Buy</v>
      </c>
      <c r="R244">
        <f t="shared" si="44"/>
        <v>186.89999999999998</v>
      </c>
      <c r="S244">
        <f t="shared" si="45"/>
        <v>27306.9</v>
      </c>
      <c r="T244">
        <f t="shared" si="46"/>
        <v>26933.1</v>
      </c>
      <c r="U244" s="51">
        <v>0.625</v>
      </c>
      <c r="V244" s="60">
        <v>27356</v>
      </c>
      <c r="AB244">
        <v>27119</v>
      </c>
      <c r="AC244">
        <v>27386</v>
      </c>
      <c r="AE244">
        <f t="shared" si="15"/>
        <v>267</v>
      </c>
      <c r="AF244">
        <f t="shared" si="47"/>
        <v>5627</v>
      </c>
      <c r="AI244">
        <f t="shared" si="38"/>
        <v>-16000</v>
      </c>
      <c r="AJ244">
        <f t="shared" si="39"/>
        <v>53400</v>
      </c>
      <c r="AL244">
        <f t="shared" si="40"/>
        <v>37400</v>
      </c>
      <c r="AM244">
        <f t="shared" si="41"/>
        <v>5781200</v>
      </c>
    </row>
    <row r="245" spans="1:40">
      <c r="A245" t="s">
        <v>57</v>
      </c>
      <c r="B245" s="63">
        <v>0.1</v>
      </c>
      <c r="C245" s="63">
        <v>0</v>
      </c>
      <c r="D245" s="64">
        <v>2</v>
      </c>
      <c r="E245" s="37">
        <v>43467</v>
      </c>
      <c r="F245">
        <v>27327</v>
      </c>
      <c r="G245">
        <v>27400</v>
      </c>
      <c r="H245">
        <v>27300</v>
      </c>
      <c r="I245">
        <v>70</v>
      </c>
      <c r="J245">
        <v>127</v>
      </c>
      <c r="K245" s="36">
        <v>0.53125</v>
      </c>
      <c r="L245">
        <v>44</v>
      </c>
      <c r="M245">
        <v>185</v>
      </c>
      <c r="N245" s="43">
        <f t="shared" si="48"/>
        <v>-32</v>
      </c>
      <c r="O245" s="77">
        <f>ImpliedCallVolatility(F245,G245,((D245)/365),B245,I245,C245)</f>
        <v>0.11913299560546875</v>
      </c>
      <c r="P245" s="77">
        <f>ImpliedPutVolatility(F245,H245,((D245)/365),B245,J245,C245)</f>
        <v>0.18230438232421875</v>
      </c>
      <c r="Q245" t="str">
        <f t="shared" si="43"/>
        <v>Buy</v>
      </c>
      <c r="R245">
        <f t="shared" si="44"/>
        <v>137.89999999999998</v>
      </c>
      <c r="S245">
        <f t="shared" si="45"/>
        <v>27464.9</v>
      </c>
      <c r="T245">
        <f t="shared" si="46"/>
        <v>27189.1</v>
      </c>
      <c r="U245" s="51">
        <v>0.57291666666666663</v>
      </c>
      <c r="V245" s="60">
        <v>27112</v>
      </c>
      <c r="AB245">
        <v>27326</v>
      </c>
      <c r="AC245">
        <v>27226</v>
      </c>
      <c r="AE245">
        <f t="shared" si="15"/>
        <v>-100</v>
      </c>
      <c r="AF245">
        <f t="shared" si="47"/>
        <v>5527</v>
      </c>
      <c r="AI245">
        <f t="shared" si="38"/>
        <v>-64000</v>
      </c>
      <c r="AJ245">
        <f t="shared" si="39"/>
        <v>-20000</v>
      </c>
      <c r="AL245">
        <f t="shared" si="40"/>
        <v>-84000</v>
      </c>
      <c r="AM245">
        <f t="shared" si="41"/>
        <v>5697200</v>
      </c>
    </row>
    <row r="246" spans="1:40" ht="13.5" thickBot="1">
      <c r="A246" t="s">
        <v>58</v>
      </c>
      <c r="B246" s="63">
        <v>0.1</v>
      </c>
      <c r="C246" s="63">
        <v>0</v>
      </c>
      <c r="D246" s="64">
        <v>1</v>
      </c>
      <c r="E246" s="50">
        <v>43468</v>
      </c>
      <c r="F246">
        <v>27066</v>
      </c>
      <c r="G246">
        <v>27100</v>
      </c>
      <c r="H246">
        <v>27100</v>
      </c>
      <c r="I246">
        <v>86</v>
      </c>
      <c r="J246">
        <v>83</v>
      </c>
      <c r="K246" s="36">
        <v>0.57152777777777775</v>
      </c>
      <c r="L246">
        <v>7</v>
      </c>
      <c r="M246">
        <v>95</v>
      </c>
      <c r="N246" s="43">
        <f t="shared" si="48"/>
        <v>67</v>
      </c>
      <c r="O246" s="77">
        <f>ImpliedCallVolatility(F246,G246,((D246)/365),B246,I246,C246)</f>
        <v>0.17459869384765625</v>
      </c>
      <c r="P246" s="77">
        <f>ImpliedPutVolatility(F246,H246,((D246)/365),B246,J246,C246)</f>
        <v>0.12187957763671875</v>
      </c>
      <c r="Q246" t="str">
        <f t="shared" si="43"/>
        <v>Sell</v>
      </c>
      <c r="R246">
        <f t="shared" si="44"/>
        <v>118.3</v>
      </c>
      <c r="S246">
        <f t="shared" si="45"/>
        <v>27184.3</v>
      </c>
      <c r="T246">
        <f t="shared" si="46"/>
        <v>26947.7</v>
      </c>
      <c r="U246" s="51">
        <v>0.63541666666666663</v>
      </c>
      <c r="V246" s="60">
        <v>26959</v>
      </c>
      <c r="AB246">
        <v>26959</v>
      </c>
      <c r="AC246">
        <v>27065</v>
      </c>
      <c r="AE246">
        <f t="shared" si="15"/>
        <v>106</v>
      </c>
      <c r="AF246">
        <f t="shared" si="47"/>
        <v>5633</v>
      </c>
      <c r="AI246">
        <f t="shared" si="38"/>
        <v>134000</v>
      </c>
      <c r="AJ246">
        <f t="shared" si="39"/>
        <v>21200</v>
      </c>
      <c r="AL246">
        <f t="shared" si="40"/>
        <v>155200</v>
      </c>
      <c r="AM246">
        <f t="shared" si="41"/>
        <v>5852400</v>
      </c>
    </row>
    <row r="247" spans="1:40">
      <c r="B247" s="63">
        <v>0.1</v>
      </c>
      <c r="C247" s="63">
        <v>0</v>
      </c>
      <c r="D247" s="64">
        <v>5</v>
      </c>
      <c r="E247" s="34">
        <v>43469</v>
      </c>
      <c r="F247">
        <v>27036</v>
      </c>
      <c r="G247">
        <v>27200</v>
      </c>
      <c r="H247">
        <v>26900</v>
      </c>
      <c r="I247">
        <v>171</v>
      </c>
      <c r="J247">
        <v>150</v>
      </c>
      <c r="K247" s="36">
        <v>0.53402777777777777</v>
      </c>
      <c r="L247">
        <v>254</v>
      </c>
      <c r="M247">
        <v>80</v>
      </c>
      <c r="N247" s="43">
        <f t="shared" si="48"/>
        <v>-13</v>
      </c>
      <c r="O247" s="77">
        <f>ImpliedCallVolatility(F247,G247,((D247)/365),B247,I247,C247)</f>
        <v>0.18085479736328125</v>
      </c>
      <c r="P247" s="77">
        <f>ImpliedPutVolatility(F247,H247,((D247)/365),B247,J247,C247)</f>
        <v>0.17955780029296875</v>
      </c>
      <c r="Q247" t="str">
        <f t="shared" si="43"/>
        <v>Sell</v>
      </c>
      <c r="R247">
        <f t="shared" si="44"/>
        <v>224.7</v>
      </c>
      <c r="S247">
        <f t="shared" si="45"/>
        <v>27260.7</v>
      </c>
      <c r="T247">
        <f t="shared" si="46"/>
        <v>26811.3</v>
      </c>
      <c r="U247" s="51">
        <v>0.54166666666666663</v>
      </c>
      <c r="V247" s="60">
        <v>27272</v>
      </c>
      <c r="AB247">
        <v>27036</v>
      </c>
      <c r="AC247">
        <v>27077</v>
      </c>
      <c r="AE247">
        <f t="shared" si="15"/>
        <v>41</v>
      </c>
      <c r="AF247">
        <f t="shared" si="47"/>
        <v>5674</v>
      </c>
      <c r="AI247">
        <f t="shared" ref="AI247:AI305" si="49">N247*2000</f>
        <v>-26000</v>
      </c>
      <c r="AJ247">
        <f t="shared" ref="AJ247:AJ305" si="50">AE247*200</f>
        <v>8200</v>
      </c>
      <c r="AL247">
        <f t="shared" ref="AL247:AL305" si="51">AI247+AJ247</f>
        <v>-17800</v>
      </c>
      <c r="AM247">
        <f t="shared" ref="AM247:AM305" si="52">AL247+AM246</f>
        <v>5834600</v>
      </c>
    </row>
    <row r="248" spans="1:40">
      <c r="B248" s="63">
        <v>0.1</v>
      </c>
      <c r="C248" s="63">
        <v>0</v>
      </c>
      <c r="D248" s="64">
        <v>4</v>
      </c>
      <c r="E248" s="37">
        <v>43472</v>
      </c>
      <c r="F248">
        <v>27382</v>
      </c>
      <c r="G248">
        <v>27500</v>
      </c>
      <c r="H248">
        <v>27400</v>
      </c>
      <c r="I248">
        <v>162</v>
      </c>
      <c r="J248">
        <v>133</v>
      </c>
      <c r="K248" s="36">
        <v>0.63541666666666663</v>
      </c>
      <c r="L248">
        <v>84</v>
      </c>
      <c r="M248">
        <v>209</v>
      </c>
      <c r="N248" s="43">
        <f t="shared" si="48"/>
        <v>2</v>
      </c>
      <c r="O248" s="77">
        <f>ImpliedCallVolatility(F248,G248,((D248)/365),B248,I248,C248)</f>
        <v>0.17719268798828125</v>
      </c>
      <c r="P248" s="77">
        <f>ImpliedPutVolatility(F248,H248,((D248)/365),B248,J248,C248)</f>
        <v>0.12149810791015625</v>
      </c>
      <c r="Q248" t="str">
        <f t="shared" si="43"/>
        <v>Sell</v>
      </c>
      <c r="R248">
        <f t="shared" si="44"/>
        <v>206.5</v>
      </c>
      <c r="S248">
        <f t="shared" si="45"/>
        <v>27588.5</v>
      </c>
      <c r="T248">
        <f t="shared" si="46"/>
        <v>27175.5</v>
      </c>
      <c r="U248" s="51">
        <v>0.63541666666666663</v>
      </c>
      <c r="V248" s="60">
        <v>27305</v>
      </c>
      <c r="AB248">
        <v>27306</v>
      </c>
      <c r="AC248">
        <v>27383</v>
      </c>
      <c r="AE248">
        <f t="shared" si="15"/>
        <v>77</v>
      </c>
      <c r="AF248">
        <f t="shared" si="47"/>
        <v>5751</v>
      </c>
      <c r="AI248">
        <f t="shared" si="49"/>
        <v>4000</v>
      </c>
      <c r="AJ248">
        <f t="shared" si="50"/>
        <v>15400</v>
      </c>
      <c r="AL248">
        <f t="shared" si="51"/>
        <v>19400</v>
      </c>
      <c r="AM248">
        <f t="shared" si="52"/>
        <v>5854000</v>
      </c>
    </row>
    <row r="249" spans="1:40">
      <c r="B249" s="63">
        <v>0.1</v>
      </c>
      <c r="C249" s="63">
        <v>0</v>
      </c>
      <c r="D249" s="64">
        <v>3</v>
      </c>
      <c r="E249" s="37">
        <v>43473</v>
      </c>
      <c r="F249">
        <v>27218</v>
      </c>
      <c r="G249">
        <v>27200</v>
      </c>
      <c r="H249">
        <v>27200</v>
      </c>
      <c r="I249">
        <v>167</v>
      </c>
      <c r="J249">
        <v>138</v>
      </c>
      <c r="K249" s="36">
        <v>0.58472222222222225</v>
      </c>
      <c r="L249">
        <v>70</v>
      </c>
      <c r="M249">
        <v>253</v>
      </c>
      <c r="N249" s="43">
        <f t="shared" si="48"/>
        <v>-18</v>
      </c>
      <c r="O249" s="77">
        <f>ImpliedCallVolatility(F249,G249,((D249)/365),B249,I249,C249)</f>
        <v>0.14835357666015625</v>
      </c>
      <c r="P249" s="77">
        <f>ImpliedPutVolatility(F249,H249,((D249)/365),B249,J249,C249)</f>
        <v>0.15995025634765625</v>
      </c>
      <c r="Q249" t="str">
        <f t="shared" si="43"/>
        <v>Buy</v>
      </c>
      <c r="R249">
        <f t="shared" si="44"/>
        <v>213.5</v>
      </c>
      <c r="S249">
        <f t="shared" si="45"/>
        <v>27431.5</v>
      </c>
      <c r="T249">
        <f t="shared" si="46"/>
        <v>27004.5</v>
      </c>
      <c r="U249" s="51">
        <v>0.59375</v>
      </c>
      <c r="V249" s="60">
        <v>27474</v>
      </c>
      <c r="AB249">
        <v>27217</v>
      </c>
      <c r="AC249">
        <v>27517</v>
      </c>
      <c r="AE249">
        <f t="shared" si="15"/>
        <v>300</v>
      </c>
      <c r="AF249">
        <f t="shared" si="47"/>
        <v>6051</v>
      </c>
      <c r="AI249">
        <f t="shared" si="49"/>
        <v>-36000</v>
      </c>
      <c r="AJ249">
        <f t="shared" si="50"/>
        <v>60000</v>
      </c>
      <c r="AL249">
        <f t="shared" si="51"/>
        <v>24000</v>
      </c>
      <c r="AM249">
        <f t="shared" si="52"/>
        <v>5878000</v>
      </c>
    </row>
    <row r="250" spans="1:40">
      <c r="A250" t="s">
        <v>57</v>
      </c>
      <c r="B250" s="63">
        <v>0.1</v>
      </c>
      <c r="C250" s="63">
        <v>0</v>
      </c>
      <c r="D250" s="64">
        <v>2</v>
      </c>
      <c r="E250" s="37">
        <v>43474</v>
      </c>
      <c r="F250">
        <v>27601</v>
      </c>
      <c r="G250">
        <v>27500</v>
      </c>
      <c r="H250">
        <v>27700</v>
      </c>
      <c r="I250">
        <v>160</v>
      </c>
      <c r="J250">
        <v>194</v>
      </c>
      <c r="K250" s="36">
        <v>0.58333333333333337</v>
      </c>
      <c r="L250">
        <v>207</v>
      </c>
      <c r="M250">
        <v>103</v>
      </c>
      <c r="N250" s="43">
        <f t="shared" si="48"/>
        <v>44</v>
      </c>
      <c r="O250" s="77">
        <f>ImpliedCallVolatility(F250,G250,((D250)/365),B250,I250,C250)</f>
        <v>0.11112213134765625</v>
      </c>
      <c r="P250" s="77">
        <f>ImpliedPutVolatility(F250,H250,((D250)/365),B250,J250,C250)</f>
        <v>0.18169403076171875</v>
      </c>
      <c r="Q250" t="str">
        <f t="shared" si="43"/>
        <v>Buy</v>
      </c>
      <c r="R250">
        <f t="shared" si="44"/>
        <v>247.79999999999998</v>
      </c>
      <c r="S250">
        <f t="shared" si="45"/>
        <v>27848.799999999999</v>
      </c>
      <c r="T250">
        <f t="shared" si="46"/>
        <v>27353.200000000001</v>
      </c>
      <c r="U250" s="51">
        <v>0.63541666666666663</v>
      </c>
      <c r="V250" s="60">
        <v>27662</v>
      </c>
      <c r="AB250">
        <v>27610</v>
      </c>
      <c r="AC250">
        <v>27563</v>
      </c>
      <c r="AE250">
        <f t="shared" si="15"/>
        <v>-47</v>
      </c>
      <c r="AF250">
        <f t="shared" si="47"/>
        <v>6004</v>
      </c>
      <c r="AI250">
        <f t="shared" si="49"/>
        <v>88000</v>
      </c>
      <c r="AJ250">
        <f t="shared" si="50"/>
        <v>-9400</v>
      </c>
      <c r="AL250">
        <f t="shared" si="51"/>
        <v>78600</v>
      </c>
      <c r="AM250">
        <f t="shared" si="52"/>
        <v>5956600</v>
      </c>
    </row>
    <row r="251" spans="1:40" ht="13.5" thickBot="1">
      <c r="A251" t="s">
        <v>58</v>
      </c>
      <c r="B251" s="63">
        <v>0.1</v>
      </c>
      <c r="C251" s="63">
        <v>0</v>
      </c>
      <c r="D251" s="64">
        <v>1</v>
      </c>
      <c r="E251" s="50">
        <v>43475</v>
      </c>
      <c r="F251">
        <v>27605</v>
      </c>
      <c r="G251">
        <v>27500</v>
      </c>
      <c r="H251">
        <v>27700</v>
      </c>
      <c r="I251">
        <v>126</v>
      </c>
      <c r="J251">
        <v>127</v>
      </c>
      <c r="K251" s="36">
        <v>0.63541666666666663</v>
      </c>
      <c r="L251">
        <v>16</v>
      </c>
      <c r="M251">
        <v>158</v>
      </c>
      <c r="N251" s="43">
        <f t="shared" si="48"/>
        <v>79</v>
      </c>
      <c r="O251" s="77">
        <f>ImpliedCallVolatility(F251,G251,((D251)/365),B251,I251,C251)</f>
        <v>8.907318115234375E-2</v>
      </c>
      <c r="P251" s="77">
        <f>ImpliedPutVolatility(F251,H251,((D251)/365),B251,J251,C251)</f>
        <v>0.13057708740234375</v>
      </c>
      <c r="Q251" t="str">
        <f t="shared" si="43"/>
        <v>Buy</v>
      </c>
      <c r="R251">
        <f t="shared" si="44"/>
        <v>177.1</v>
      </c>
      <c r="S251">
        <f t="shared" si="45"/>
        <v>27782.1</v>
      </c>
      <c r="T251">
        <f t="shared" si="46"/>
        <v>27427.9</v>
      </c>
      <c r="U251" s="51">
        <v>0.63541666666666663</v>
      </c>
      <c r="V251" s="60">
        <v>27521</v>
      </c>
      <c r="AB251">
        <v>27604</v>
      </c>
      <c r="AC251">
        <v>27496</v>
      </c>
      <c r="AE251">
        <f t="shared" si="15"/>
        <v>-108</v>
      </c>
      <c r="AF251">
        <f t="shared" si="47"/>
        <v>5896</v>
      </c>
      <c r="AI251">
        <f t="shared" si="49"/>
        <v>158000</v>
      </c>
      <c r="AJ251">
        <f t="shared" si="50"/>
        <v>-21600</v>
      </c>
      <c r="AL251">
        <f t="shared" si="51"/>
        <v>136400</v>
      </c>
      <c r="AM251">
        <f t="shared" si="52"/>
        <v>6093000</v>
      </c>
    </row>
    <row r="252" spans="1:40">
      <c r="B252" s="63">
        <v>0.1</v>
      </c>
      <c r="C252" s="63">
        <v>0</v>
      </c>
      <c r="D252" s="64">
        <v>5</v>
      </c>
      <c r="E252" s="34">
        <v>43476</v>
      </c>
      <c r="F252">
        <v>27559</v>
      </c>
      <c r="G252">
        <v>27600</v>
      </c>
      <c r="H252">
        <v>27600</v>
      </c>
      <c r="I252">
        <v>197</v>
      </c>
      <c r="J252">
        <v>226</v>
      </c>
      <c r="K252" s="36">
        <v>0.63541666666666663</v>
      </c>
      <c r="L252">
        <v>160</v>
      </c>
      <c r="M252">
        <v>234</v>
      </c>
      <c r="N252" s="43">
        <f t="shared" si="48"/>
        <v>29</v>
      </c>
      <c r="O252" s="77">
        <f>ImpliedCallVolatility(F252,G252,((D252)/365),B252,I252,C252)</f>
        <v>0.15430450439453125</v>
      </c>
      <c r="P252" s="77">
        <f>ImpliedPutVolatility(F252,H252,((D252)/365),B252,J252,C252)</f>
        <v>0.17436981201171875</v>
      </c>
      <c r="Q252" t="str">
        <f t="shared" si="43"/>
        <v>Buy</v>
      </c>
      <c r="R252">
        <f t="shared" si="44"/>
        <v>296.09999999999997</v>
      </c>
      <c r="S252">
        <f t="shared" si="45"/>
        <v>27855.1</v>
      </c>
      <c r="T252">
        <f t="shared" si="46"/>
        <v>27262.9</v>
      </c>
      <c r="U252" s="36">
        <v>0.63541666666666663</v>
      </c>
      <c r="V252" s="60">
        <v>27492</v>
      </c>
      <c r="AB252">
        <v>27559</v>
      </c>
      <c r="AC252">
        <v>27496</v>
      </c>
      <c r="AE252">
        <f t="shared" si="15"/>
        <v>-63</v>
      </c>
      <c r="AF252">
        <f t="shared" si="47"/>
        <v>5833</v>
      </c>
      <c r="AI252">
        <f t="shared" si="49"/>
        <v>58000</v>
      </c>
      <c r="AJ252">
        <f t="shared" si="50"/>
        <v>-12600</v>
      </c>
      <c r="AL252">
        <f t="shared" si="51"/>
        <v>45400</v>
      </c>
      <c r="AM252">
        <f t="shared" si="52"/>
        <v>6138400</v>
      </c>
    </row>
    <row r="253" spans="1:40">
      <c r="B253" s="63">
        <v>0.1</v>
      </c>
      <c r="C253" s="63">
        <v>0</v>
      </c>
      <c r="D253" s="64">
        <v>4</v>
      </c>
      <c r="E253" s="37">
        <v>43479</v>
      </c>
      <c r="F253">
        <v>27256</v>
      </c>
      <c r="G253">
        <v>27400</v>
      </c>
      <c r="H253">
        <v>27200</v>
      </c>
      <c r="I253">
        <v>139</v>
      </c>
      <c r="J253">
        <v>127</v>
      </c>
      <c r="K253" s="36">
        <v>0.63541666666666663</v>
      </c>
      <c r="L253">
        <v>120</v>
      </c>
      <c r="M253">
        <v>120</v>
      </c>
      <c r="N253" s="43">
        <f t="shared" si="48"/>
        <v>26</v>
      </c>
      <c r="O253" s="77">
        <f>ImpliedCallVolatility(F253,G253,((D253)/365),B253,I253,C253)</f>
        <v>0.16712188720703125</v>
      </c>
      <c r="P253" s="77">
        <f>ImpliedPutVolatility(F253,H253,((D253)/365),B253,J253,C253)</f>
        <v>0.14636993408203125</v>
      </c>
      <c r="Q253" t="str">
        <f t="shared" si="43"/>
        <v>Sell</v>
      </c>
      <c r="R253">
        <f t="shared" si="44"/>
        <v>186.2</v>
      </c>
      <c r="S253">
        <f t="shared" si="45"/>
        <v>27442.2</v>
      </c>
      <c r="T253">
        <f t="shared" si="46"/>
        <v>27069.8</v>
      </c>
      <c r="U253" s="36">
        <v>0.63541666666666663</v>
      </c>
      <c r="V253" s="60">
        <v>27259</v>
      </c>
      <c r="AB253">
        <v>27258</v>
      </c>
      <c r="AC253">
        <v>27256</v>
      </c>
      <c r="AE253">
        <f t="shared" si="15"/>
        <v>-2</v>
      </c>
      <c r="AF253">
        <f t="shared" si="47"/>
        <v>5831</v>
      </c>
      <c r="AI253">
        <f t="shared" si="49"/>
        <v>52000</v>
      </c>
      <c r="AJ253">
        <f t="shared" si="50"/>
        <v>-400</v>
      </c>
      <c r="AL253">
        <f t="shared" si="51"/>
        <v>51600</v>
      </c>
      <c r="AM253">
        <f t="shared" si="52"/>
        <v>6190000</v>
      </c>
    </row>
    <row r="254" spans="1:40">
      <c r="B254" s="63">
        <v>0.1</v>
      </c>
      <c r="C254" s="63">
        <v>0</v>
      </c>
      <c r="D254" s="64">
        <v>3</v>
      </c>
      <c r="E254" s="37">
        <v>43480</v>
      </c>
      <c r="F254">
        <v>27374</v>
      </c>
      <c r="G254">
        <v>27400</v>
      </c>
      <c r="H254">
        <v>27400</v>
      </c>
      <c r="I254">
        <v>144</v>
      </c>
      <c r="J254">
        <v>146</v>
      </c>
      <c r="K254" s="36">
        <v>0.63541666666666663</v>
      </c>
      <c r="L254">
        <v>156</v>
      </c>
      <c r="M254">
        <v>113</v>
      </c>
      <c r="N254" s="43">
        <f t="shared" si="48"/>
        <v>21</v>
      </c>
      <c r="O254" s="77">
        <f>ImpliedCallVolatility(F254,G254,((D254)/365),B254,I254,C254)</f>
        <v>0.14720916748046875</v>
      </c>
      <c r="P254" s="77">
        <f>ImpliedPutVolatility(F254,H254,((D254)/365),B254,J254,C254)</f>
        <v>0.14568328857421875</v>
      </c>
      <c r="Q254" t="str">
        <f t="shared" si="43"/>
        <v>Sell</v>
      </c>
      <c r="R254">
        <f t="shared" si="44"/>
        <v>203</v>
      </c>
      <c r="S254">
        <f t="shared" si="45"/>
        <v>27577</v>
      </c>
      <c r="T254">
        <f t="shared" si="46"/>
        <v>27171</v>
      </c>
      <c r="U254" s="36">
        <v>0.63541666666666663</v>
      </c>
      <c r="V254" s="60">
        <v>27405</v>
      </c>
      <c r="AB254">
        <v>27405</v>
      </c>
      <c r="AC254">
        <v>27374</v>
      </c>
      <c r="AE254">
        <f t="shared" si="15"/>
        <v>-31</v>
      </c>
      <c r="AF254">
        <f t="shared" si="47"/>
        <v>5800</v>
      </c>
      <c r="AI254">
        <f t="shared" si="49"/>
        <v>42000</v>
      </c>
      <c r="AJ254">
        <f t="shared" si="50"/>
        <v>-6200</v>
      </c>
      <c r="AL254">
        <f t="shared" si="51"/>
        <v>35800</v>
      </c>
      <c r="AM254">
        <f t="shared" si="52"/>
        <v>6225800</v>
      </c>
    </row>
    <row r="255" spans="1:40">
      <c r="A255" t="s">
        <v>57</v>
      </c>
      <c r="B255" s="63">
        <v>0.1</v>
      </c>
      <c r="C255" s="63">
        <v>0</v>
      </c>
      <c r="D255" s="64">
        <v>2</v>
      </c>
      <c r="E255" s="37">
        <v>43116</v>
      </c>
      <c r="F255">
        <v>27513</v>
      </c>
      <c r="G255">
        <v>27400</v>
      </c>
      <c r="H255">
        <v>27600</v>
      </c>
      <c r="I255">
        <v>174</v>
      </c>
      <c r="J255">
        <v>156</v>
      </c>
      <c r="K255" s="36">
        <v>0.63541666666666663</v>
      </c>
      <c r="L255">
        <v>152</v>
      </c>
      <c r="M255">
        <v>138</v>
      </c>
      <c r="N255" s="43">
        <f t="shared" si="48"/>
        <v>40</v>
      </c>
      <c r="O255" s="77">
        <f>ImpliedCallVolatility(F255,G255,((D255)/365),B255,I255,C255)</f>
        <v>0.11943817138671875</v>
      </c>
      <c r="P255" s="77">
        <f>ImpliedPutVolatility(F255,H255,((D255)/365),B255,J255,C255)</f>
        <v>0.14324188232421875</v>
      </c>
      <c r="Q255" t="str">
        <f t="shared" si="43"/>
        <v>Buy</v>
      </c>
      <c r="R255">
        <f t="shared" si="44"/>
        <v>230.99999999999997</v>
      </c>
      <c r="S255">
        <f t="shared" si="45"/>
        <v>27744</v>
      </c>
      <c r="T255">
        <f t="shared" si="46"/>
        <v>27282</v>
      </c>
      <c r="U255" s="36">
        <v>0.63541666666666663</v>
      </c>
      <c r="V255" s="60">
        <v>27492</v>
      </c>
      <c r="AB255">
        <v>27512</v>
      </c>
      <c r="AC255">
        <v>27491</v>
      </c>
      <c r="AE255">
        <f t="shared" si="15"/>
        <v>-21</v>
      </c>
      <c r="AF255">
        <f t="shared" si="47"/>
        <v>5779</v>
      </c>
      <c r="AI255">
        <f t="shared" si="49"/>
        <v>80000</v>
      </c>
      <c r="AJ255">
        <f t="shared" si="50"/>
        <v>-4200</v>
      </c>
      <c r="AL255">
        <f t="shared" si="51"/>
        <v>75800</v>
      </c>
      <c r="AM255">
        <f t="shared" si="52"/>
        <v>6301600</v>
      </c>
    </row>
    <row r="256" spans="1:40" ht="13.5" thickBot="1">
      <c r="A256" t="s">
        <v>58</v>
      </c>
      <c r="B256" s="63">
        <v>0.1</v>
      </c>
      <c r="C256" s="63">
        <v>0</v>
      </c>
      <c r="D256" s="64">
        <v>1</v>
      </c>
      <c r="E256" s="50">
        <v>43482</v>
      </c>
      <c r="F256">
        <v>27484</v>
      </c>
      <c r="G256">
        <v>27400</v>
      </c>
      <c r="H256">
        <v>27600</v>
      </c>
      <c r="I256">
        <v>107</v>
      </c>
      <c r="J256">
        <v>113</v>
      </c>
      <c r="K256" s="36">
        <v>0.63541666666666663</v>
      </c>
      <c r="L256">
        <v>118</v>
      </c>
      <c r="M256">
        <v>68</v>
      </c>
      <c r="N256" s="43">
        <f t="shared" si="48"/>
        <v>34</v>
      </c>
      <c r="O256" s="77">
        <f>ImpliedCallVolatility(F256,G256,((D256)/365),B256,I256,C256)</f>
        <v>8.380889892578125E-2</v>
      </c>
      <c r="P256" s="77">
        <f>ImpliedPutVolatility(F256,H256,((D256)/365),B256,J256,C256)</f>
        <v>6.084442138671875E-2</v>
      </c>
      <c r="Q256" t="str">
        <f t="shared" si="43"/>
        <v>Sell</v>
      </c>
      <c r="R256">
        <f t="shared" si="44"/>
        <v>154</v>
      </c>
      <c r="S256">
        <f t="shared" si="45"/>
        <v>27638</v>
      </c>
      <c r="T256">
        <f t="shared" si="46"/>
        <v>27330</v>
      </c>
      <c r="U256" s="36">
        <v>0.63541666666666663</v>
      </c>
      <c r="V256" s="60">
        <v>27527</v>
      </c>
      <c r="AB256">
        <v>27472</v>
      </c>
      <c r="AC256">
        <v>27482</v>
      </c>
      <c r="AE256">
        <f t="shared" si="15"/>
        <v>10</v>
      </c>
      <c r="AF256">
        <f t="shared" si="47"/>
        <v>5789</v>
      </c>
      <c r="AI256">
        <f t="shared" si="49"/>
        <v>68000</v>
      </c>
      <c r="AJ256">
        <f t="shared" si="50"/>
        <v>2000</v>
      </c>
      <c r="AL256">
        <f t="shared" si="51"/>
        <v>70000</v>
      </c>
      <c r="AM256">
        <f t="shared" si="52"/>
        <v>6371600</v>
      </c>
    </row>
    <row r="257" spans="1:40">
      <c r="B257" s="63">
        <v>0.1</v>
      </c>
      <c r="C257" s="63">
        <v>0</v>
      </c>
      <c r="D257" s="64">
        <v>5</v>
      </c>
      <c r="E257" s="34">
        <v>43483</v>
      </c>
      <c r="F257">
        <v>27447</v>
      </c>
      <c r="G257">
        <v>27400</v>
      </c>
      <c r="H257">
        <v>27600</v>
      </c>
      <c r="I257">
        <v>149</v>
      </c>
      <c r="J257">
        <v>148</v>
      </c>
      <c r="K257" s="36">
        <v>0.63541666666666663</v>
      </c>
      <c r="L257">
        <v>135</v>
      </c>
      <c r="M257">
        <v>149</v>
      </c>
      <c r="N257" s="43">
        <f t="shared" si="48"/>
        <v>13</v>
      </c>
      <c r="O257" s="77">
        <f>ImpliedCallVolatility(F257,G257,((D257)/365),B257,I257,C257)</f>
        <v>7.907867431640625E-2</v>
      </c>
      <c r="P257" s="77">
        <f>ImpliedPutVolatility(F257,H257,((D257)/365),B257,J257,C257)</f>
        <v>6.000518798828125E-2</v>
      </c>
      <c r="Q257" t="str">
        <f t="shared" si="43"/>
        <v>Sell</v>
      </c>
      <c r="R257">
        <f t="shared" si="44"/>
        <v>207.89999999999998</v>
      </c>
      <c r="S257">
        <f t="shared" si="45"/>
        <v>27654.9</v>
      </c>
      <c r="T257">
        <f t="shared" si="46"/>
        <v>27239.1</v>
      </c>
      <c r="U257" s="36">
        <v>0.63541666666666663</v>
      </c>
      <c r="V257" s="60">
        <v>27445</v>
      </c>
      <c r="AB257">
        <v>27445</v>
      </c>
      <c r="AC257">
        <v>27447</v>
      </c>
      <c r="AE257">
        <f t="shared" si="15"/>
        <v>2</v>
      </c>
      <c r="AF257">
        <f t="shared" si="47"/>
        <v>5791</v>
      </c>
      <c r="AI257">
        <f t="shared" si="49"/>
        <v>26000</v>
      </c>
      <c r="AJ257">
        <f t="shared" si="50"/>
        <v>400</v>
      </c>
      <c r="AL257">
        <f t="shared" si="51"/>
        <v>26400</v>
      </c>
      <c r="AM257">
        <f t="shared" si="52"/>
        <v>6398000</v>
      </c>
    </row>
    <row r="258" spans="1:40">
      <c r="B258" s="63">
        <v>0.1</v>
      </c>
      <c r="C258" s="63">
        <v>0</v>
      </c>
      <c r="D258" s="64">
        <v>4</v>
      </c>
      <c r="E258" s="37">
        <v>43486</v>
      </c>
      <c r="F258">
        <v>27420</v>
      </c>
      <c r="G258">
        <v>27400</v>
      </c>
      <c r="H258">
        <v>27500</v>
      </c>
      <c r="I258">
        <v>149</v>
      </c>
      <c r="J258">
        <v>150</v>
      </c>
      <c r="K258" s="36">
        <v>0.55555555555555558</v>
      </c>
      <c r="L258">
        <v>234</v>
      </c>
      <c r="M258">
        <v>100</v>
      </c>
      <c r="N258" s="43">
        <f t="shared" si="48"/>
        <v>-35</v>
      </c>
      <c r="O258" s="77">
        <f>ImpliedCallVolatility(F258,G258,((D258)/365),B258,I258,C258)</f>
        <v>0.10692596435546875</v>
      </c>
      <c r="P258" s="77">
        <f>ImpliedPutVolatility(F258,H258,((D258)/365),B258,J258,C258)</f>
        <v>0.10768890380859375</v>
      </c>
      <c r="Q258" t="str">
        <f t="shared" si="43"/>
        <v>Buy</v>
      </c>
      <c r="R258">
        <f t="shared" si="44"/>
        <v>209.29999999999998</v>
      </c>
      <c r="S258">
        <f t="shared" si="45"/>
        <v>27629.3</v>
      </c>
      <c r="T258">
        <f t="shared" si="46"/>
        <v>27210.7</v>
      </c>
      <c r="U258" s="36">
        <v>0.55208333333333337</v>
      </c>
      <c r="V258" s="60">
        <v>27610</v>
      </c>
      <c r="AB258">
        <v>27420</v>
      </c>
      <c r="AC258">
        <v>27410</v>
      </c>
      <c r="AE258">
        <f t="shared" si="15"/>
        <v>-10</v>
      </c>
      <c r="AF258">
        <f t="shared" si="47"/>
        <v>5781</v>
      </c>
      <c r="AI258">
        <f t="shared" si="49"/>
        <v>-70000</v>
      </c>
      <c r="AJ258">
        <f t="shared" si="50"/>
        <v>-2000</v>
      </c>
      <c r="AL258">
        <f t="shared" si="51"/>
        <v>-72000</v>
      </c>
      <c r="AM258">
        <f t="shared" si="52"/>
        <v>6326000</v>
      </c>
    </row>
    <row r="259" spans="1:40">
      <c r="B259" s="63">
        <v>0.1</v>
      </c>
      <c r="C259" s="63">
        <v>0</v>
      </c>
      <c r="D259" s="64">
        <v>3</v>
      </c>
      <c r="E259" s="37">
        <v>43487</v>
      </c>
      <c r="F259">
        <v>27455</v>
      </c>
      <c r="G259">
        <v>27500</v>
      </c>
      <c r="H259">
        <v>27400</v>
      </c>
      <c r="I259">
        <v>134</v>
      </c>
      <c r="J259">
        <v>130</v>
      </c>
      <c r="K259" s="36">
        <v>0.63541666666666663</v>
      </c>
      <c r="L259">
        <v>102</v>
      </c>
      <c r="M259">
        <v>142</v>
      </c>
      <c r="N259" s="43">
        <f t="shared" si="48"/>
        <v>20</v>
      </c>
      <c r="O259" s="77">
        <f>ImpliedCallVolatility(F259,G259,((D259)/365),B259,I259,C259)</f>
        <v>0.14591217041015625</v>
      </c>
      <c r="P259" s="77">
        <f>ImpliedPutVolatility(F259,H259,((D259)/365),B259,J259,C259)</f>
        <v>0.16727447509765625</v>
      </c>
      <c r="Q259" t="str">
        <f t="shared" si="43"/>
        <v>Buy</v>
      </c>
      <c r="R259">
        <f t="shared" si="44"/>
        <v>184.79999999999998</v>
      </c>
      <c r="S259">
        <f t="shared" si="45"/>
        <v>27639.8</v>
      </c>
      <c r="T259">
        <f t="shared" si="46"/>
        <v>27270.2</v>
      </c>
      <c r="U259" s="36">
        <v>0.63541666666666663</v>
      </c>
      <c r="V259" s="60">
        <v>27486</v>
      </c>
      <c r="AB259">
        <v>27454</v>
      </c>
      <c r="AC259">
        <v>27485</v>
      </c>
      <c r="AE259">
        <f t="shared" si="15"/>
        <v>31</v>
      </c>
      <c r="AF259">
        <f t="shared" si="47"/>
        <v>5812</v>
      </c>
      <c r="AI259">
        <f t="shared" si="49"/>
        <v>40000</v>
      </c>
      <c r="AJ259">
        <f t="shared" si="50"/>
        <v>6200</v>
      </c>
      <c r="AL259">
        <f t="shared" si="51"/>
        <v>46200</v>
      </c>
      <c r="AM259">
        <f t="shared" si="52"/>
        <v>6372200</v>
      </c>
    </row>
    <row r="260" spans="1:40">
      <c r="A260" t="s">
        <v>57</v>
      </c>
      <c r="B260" s="63">
        <v>0.1</v>
      </c>
      <c r="C260" s="63">
        <v>0</v>
      </c>
      <c r="D260" s="64">
        <v>2</v>
      </c>
      <c r="E260" s="37">
        <v>43488</v>
      </c>
      <c r="F260">
        <v>27510</v>
      </c>
      <c r="G260">
        <v>27500</v>
      </c>
      <c r="H260">
        <v>27600</v>
      </c>
      <c r="I260">
        <v>143</v>
      </c>
      <c r="J260">
        <v>149</v>
      </c>
      <c r="K260" s="36">
        <v>0.625</v>
      </c>
      <c r="L260">
        <v>43</v>
      </c>
      <c r="M260">
        <v>259</v>
      </c>
      <c r="N260" s="43">
        <f t="shared" si="48"/>
        <v>-10</v>
      </c>
      <c r="O260" s="77">
        <f>ImpliedCallVolatility(F260,G260,((D260)/365),B260,I260,C260)</f>
        <v>0.16017913818359375</v>
      </c>
      <c r="P260" s="77">
        <f>ImpliedPutVolatility(F260,H260,((D260)/365),B260,J260,C260)</f>
        <v>0.13202667236328125</v>
      </c>
      <c r="Q260" t="str">
        <f t="shared" ref="Q260:Q295" si="53">IF(P260&gt;O260,"Buy","Sell")</f>
        <v>Sell</v>
      </c>
      <c r="R260">
        <f t="shared" ref="R260:R278" si="54">(I260+J260)*0.7</f>
        <v>204.39999999999998</v>
      </c>
      <c r="S260">
        <f t="shared" ref="S260:S278" si="55">F260+R260</f>
        <v>27714.400000000001</v>
      </c>
      <c r="T260">
        <f t="shared" ref="T260:T278" si="56">F260-R260</f>
        <v>27305.599999999999</v>
      </c>
      <c r="U260" s="36">
        <v>0.625</v>
      </c>
      <c r="V260" s="60">
        <v>27357</v>
      </c>
      <c r="AB260">
        <v>27538</v>
      </c>
      <c r="AC260">
        <v>27510</v>
      </c>
      <c r="AE260">
        <f t="shared" si="15"/>
        <v>-28</v>
      </c>
      <c r="AF260">
        <f t="shared" ref="AF260:AF305" si="57">AF259+AE260</f>
        <v>5784</v>
      </c>
      <c r="AI260">
        <f t="shared" si="49"/>
        <v>-20000</v>
      </c>
      <c r="AJ260">
        <f t="shared" si="50"/>
        <v>-5600</v>
      </c>
      <c r="AL260">
        <f t="shared" si="51"/>
        <v>-25600</v>
      </c>
      <c r="AM260">
        <f t="shared" si="52"/>
        <v>6346600</v>
      </c>
    </row>
    <row r="261" spans="1:40" ht="13.5" thickBot="1">
      <c r="A261" t="s">
        <v>58</v>
      </c>
      <c r="B261" s="63">
        <v>0.1</v>
      </c>
      <c r="C261" s="63">
        <v>0</v>
      </c>
      <c r="D261" s="64">
        <v>1</v>
      </c>
      <c r="E261" s="50">
        <v>43489</v>
      </c>
      <c r="F261">
        <v>27209</v>
      </c>
      <c r="G261">
        <v>27100</v>
      </c>
      <c r="H261">
        <v>27300</v>
      </c>
      <c r="I261">
        <v>131</v>
      </c>
      <c r="J261">
        <v>106</v>
      </c>
      <c r="K261" s="36">
        <v>0.63541666666666663</v>
      </c>
      <c r="L261">
        <v>154</v>
      </c>
      <c r="M261">
        <v>35</v>
      </c>
      <c r="N261" s="43">
        <f t="shared" si="48"/>
        <v>48</v>
      </c>
      <c r="O261" s="77">
        <f>ImpliedCallVolatility(F261,G261,((D261)/365),B261,I261,C261)</f>
        <v>9.517669677734375E-2</v>
      </c>
      <c r="P261" s="77">
        <f>ImpliedPutVolatility(F261,H261,((D261)/365),B261,J261,C261)</f>
        <v>9.548187255859375E-2</v>
      </c>
      <c r="Q261" t="str">
        <f t="shared" si="53"/>
        <v>Buy</v>
      </c>
      <c r="R261">
        <f t="shared" si="54"/>
        <v>165.89999999999998</v>
      </c>
      <c r="S261">
        <f t="shared" si="55"/>
        <v>27374.9</v>
      </c>
      <c r="T261">
        <f t="shared" si="56"/>
        <v>27043.1</v>
      </c>
      <c r="U261" s="36">
        <v>0.63541666666666663</v>
      </c>
      <c r="V261" s="60">
        <v>27293</v>
      </c>
      <c r="AB261">
        <v>27209</v>
      </c>
      <c r="AC261">
        <v>27292</v>
      </c>
      <c r="AE261">
        <f t="shared" si="15"/>
        <v>83</v>
      </c>
      <c r="AF261">
        <f t="shared" si="57"/>
        <v>5867</v>
      </c>
      <c r="AI261">
        <f t="shared" si="49"/>
        <v>96000</v>
      </c>
      <c r="AJ261">
        <f t="shared" si="50"/>
        <v>16600</v>
      </c>
      <c r="AL261">
        <f t="shared" si="51"/>
        <v>112600</v>
      </c>
      <c r="AM261">
        <f t="shared" si="52"/>
        <v>6459200</v>
      </c>
    </row>
    <row r="262" spans="1:40">
      <c r="B262" s="63">
        <v>0.1</v>
      </c>
      <c r="C262" s="63">
        <v>0</v>
      </c>
      <c r="D262" s="64">
        <v>5</v>
      </c>
      <c r="E262" s="34">
        <v>43490</v>
      </c>
      <c r="F262" s="32">
        <v>27399</v>
      </c>
      <c r="G262">
        <v>27500</v>
      </c>
      <c r="H262">
        <v>27400</v>
      </c>
      <c r="I262">
        <v>167</v>
      </c>
      <c r="J262">
        <v>166</v>
      </c>
      <c r="K262" s="36">
        <v>0.59027777777777779</v>
      </c>
      <c r="L262">
        <v>92</v>
      </c>
      <c r="M262">
        <v>288</v>
      </c>
      <c r="N262" s="43">
        <f t="shared" si="48"/>
        <v>-47</v>
      </c>
      <c r="O262" s="77">
        <f>ImpliedCallVolatility(F262,G262,((D262)/365),B262,I262,C262)</f>
        <v>0.15384674072265625</v>
      </c>
      <c r="P262" s="77">
        <f>ImpliedPutVolatility(F262,H262,((D262)/365),B262,J262,C262)</f>
        <v>0.14369964599609375</v>
      </c>
      <c r="Q262" t="str">
        <f t="shared" si="53"/>
        <v>Sell</v>
      </c>
      <c r="R262">
        <f t="shared" si="54"/>
        <v>233.1</v>
      </c>
      <c r="S262">
        <f t="shared" si="55"/>
        <v>27632.1</v>
      </c>
      <c r="T262">
        <f t="shared" si="56"/>
        <v>27165.9</v>
      </c>
      <c r="U262" s="36">
        <v>0.59027777777777779</v>
      </c>
      <c r="V262" s="60">
        <v>27226</v>
      </c>
      <c r="AB262">
        <v>27080</v>
      </c>
      <c r="AC262">
        <v>27399</v>
      </c>
      <c r="AE262">
        <f t="shared" si="15"/>
        <v>319</v>
      </c>
      <c r="AF262">
        <f t="shared" si="57"/>
        <v>6186</v>
      </c>
      <c r="AI262">
        <f t="shared" si="49"/>
        <v>-94000</v>
      </c>
      <c r="AJ262">
        <f t="shared" si="50"/>
        <v>63800</v>
      </c>
      <c r="AL262">
        <f t="shared" si="51"/>
        <v>-30200</v>
      </c>
      <c r="AM262">
        <f t="shared" si="52"/>
        <v>6429000</v>
      </c>
    </row>
    <row r="263" spans="1:40">
      <c r="B263" s="63">
        <v>0.1</v>
      </c>
      <c r="C263" s="63">
        <v>0</v>
      </c>
      <c r="D263" s="64">
        <v>4</v>
      </c>
      <c r="E263" s="37">
        <v>43493</v>
      </c>
      <c r="F263" s="45">
        <v>27060</v>
      </c>
      <c r="G263">
        <v>27200</v>
      </c>
      <c r="H263">
        <v>27000</v>
      </c>
      <c r="I263">
        <v>152</v>
      </c>
      <c r="J263">
        <v>141</v>
      </c>
      <c r="K263" s="36">
        <v>0.40972222222222227</v>
      </c>
      <c r="L263">
        <v>104</v>
      </c>
      <c r="M263">
        <v>247</v>
      </c>
      <c r="N263" s="43">
        <f t="shared" si="48"/>
        <v>-58</v>
      </c>
      <c r="O263" s="77">
        <f>ImpliedCallVolatility(F263,G263,((D263)/365),B263,I263,C263)</f>
        <v>0.17871856689453125</v>
      </c>
      <c r="P263" s="77">
        <f>ImpliedPutVolatility(F263,H263,((D263)/365),B263,J263,C263)</f>
        <v>0.16155242919921875</v>
      </c>
      <c r="Q263" t="str">
        <f t="shared" si="53"/>
        <v>Sell</v>
      </c>
      <c r="R263">
        <f t="shared" si="54"/>
        <v>205.1</v>
      </c>
      <c r="S263">
        <f t="shared" si="55"/>
        <v>27265.1</v>
      </c>
      <c r="T263">
        <f t="shared" si="56"/>
        <v>26854.9</v>
      </c>
      <c r="U263" s="36">
        <v>0.40972222222222227</v>
      </c>
      <c r="V263" s="60">
        <v>26860</v>
      </c>
      <c r="AB263">
        <v>26615</v>
      </c>
      <c r="AC263">
        <v>27060</v>
      </c>
      <c r="AE263">
        <f t="shared" si="15"/>
        <v>445</v>
      </c>
      <c r="AF263">
        <f t="shared" si="57"/>
        <v>6631</v>
      </c>
      <c r="AI263">
        <f t="shared" si="49"/>
        <v>-116000</v>
      </c>
      <c r="AJ263">
        <f t="shared" si="50"/>
        <v>89000</v>
      </c>
      <c r="AL263">
        <f t="shared" si="51"/>
        <v>-27000</v>
      </c>
      <c r="AM263">
        <f t="shared" si="52"/>
        <v>6402000</v>
      </c>
    </row>
    <row r="264" spans="1:40">
      <c r="B264" s="63">
        <v>0.1</v>
      </c>
      <c r="C264" s="63">
        <v>0</v>
      </c>
      <c r="D264" s="64">
        <v>3</v>
      </c>
      <c r="E264" s="37">
        <v>43494</v>
      </c>
      <c r="F264" s="45">
        <v>26661</v>
      </c>
      <c r="G264">
        <v>26800</v>
      </c>
      <c r="H264">
        <v>26700</v>
      </c>
      <c r="I264">
        <v>164</v>
      </c>
      <c r="J264">
        <v>178</v>
      </c>
      <c r="K264" s="36">
        <v>0.60972222222222217</v>
      </c>
      <c r="L264">
        <v>83</v>
      </c>
      <c r="M264">
        <v>270</v>
      </c>
      <c r="N264" s="43">
        <f t="shared" si="48"/>
        <v>-11</v>
      </c>
      <c r="O264" s="77">
        <f>ImpliedCallVolatility(F264,G264,((D264)/365),B264,I264,C264)</f>
        <v>0.22510528564453125</v>
      </c>
      <c r="P264" s="77">
        <f>ImpliedPutVolatility(F264,H264,((D264)/365),B264,J264,C264)</f>
        <v>0.17551422119140625</v>
      </c>
      <c r="Q264" t="str">
        <f t="shared" si="53"/>
        <v>Sell</v>
      </c>
      <c r="R264">
        <f t="shared" si="54"/>
        <v>239.39999999999998</v>
      </c>
      <c r="S264">
        <f t="shared" si="55"/>
        <v>26900.400000000001</v>
      </c>
      <c r="T264">
        <f t="shared" si="56"/>
        <v>26421.599999999999</v>
      </c>
      <c r="U264" s="36">
        <v>0.60972222222222217</v>
      </c>
      <c r="V264" s="60">
        <v>26458</v>
      </c>
      <c r="AB264">
        <v>26512</v>
      </c>
      <c r="AC264">
        <v>26661</v>
      </c>
      <c r="AE264">
        <f t="shared" si="15"/>
        <v>149</v>
      </c>
      <c r="AF264">
        <f t="shared" si="57"/>
        <v>6780</v>
      </c>
      <c r="AI264">
        <f t="shared" si="49"/>
        <v>-22000</v>
      </c>
      <c r="AJ264">
        <f t="shared" si="50"/>
        <v>29800</v>
      </c>
      <c r="AL264">
        <f t="shared" si="51"/>
        <v>7800</v>
      </c>
      <c r="AM264">
        <f t="shared" si="52"/>
        <v>6409800</v>
      </c>
    </row>
    <row r="265" spans="1:40">
      <c r="A265" t="s">
        <v>57</v>
      </c>
      <c r="B265" s="63">
        <v>0.1</v>
      </c>
      <c r="C265" s="63">
        <v>0</v>
      </c>
      <c r="D265" s="64">
        <v>2</v>
      </c>
      <c r="E265" s="37">
        <v>43495</v>
      </c>
      <c r="F265" s="45">
        <v>26759</v>
      </c>
      <c r="G265">
        <v>26700</v>
      </c>
      <c r="H265">
        <v>26800</v>
      </c>
      <c r="I265">
        <v>173</v>
      </c>
      <c r="J265">
        <v>153</v>
      </c>
      <c r="K265" s="36">
        <v>0.63541666666666663</v>
      </c>
      <c r="L265">
        <v>161</v>
      </c>
      <c r="M265">
        <v>99</v>
      </c>
      <c r="N265" s="43">
        <f t="shared" si="48"/>
        <v>66</v>
      </c>
      <c r="O265" s="77">
        <f>ImpliedCallVolatility(F265,G265,((D265)/365),B265,I265,C265)</f>
        <v>0.16849517822265625</v>
      </c>
      <c r="P265" s="77">
        <f>ImpliedPutVolatility(F265,H265,((D265)/365),B265,J265,C265)</f>
        <v>0.17635345458984375</v>
      </c>
      <c r="Q265" t="str">
        <f t="shared" si="53"/>
        <v>Buy</v>
      </c>
      <c r="R265">
        <f t="shared" si="54"/>
        <v>228.2</v>
      </c>
      <c r="S265">
        <f t="shared" si="55"/>
        <v>26987.200000000001</v>
      </c>
      <c r="T265">
        <f t="shared" si="56"/>
        <v>26530.799999999999</v>
      </c>
      <c r="U265" s="36">
        <v>0.63541666666666663</v>
      </c>
      <c r="V265" s="60">
        <v>26818</v>
      </c>
      <c r="AB265">
        <v>26757</v>
      </c>
      <c r="AC265">
        <v>26812</v>
      </c>
      <c r="AE265">
        <f t="shared" si="15"/>
        <v>55</v>
      </c>
      <c r="AF265">
        <f t="shared" si="57"/>
        <v>6835</v>
      </c>
      <c r="AI265">
        <f t="shared" si="49"/>
        <v>132000</v>
      </c>
      <c r="AJ265">
        <f t="shared" si="50"/>
        <v>11000</v>
      </c>
      <c r="AL265">
        <f t="shared" si="51"/>
        <v>143000</v>
      </c>
      <c r="AM265">
        <f t="shared" si="52"/>
        <v>6552800</v>
      </c>
    </row>
    <row r="266" spans="1:40" ht="13.5" thickBot="1">
      <c r="A266" t="s">
        <v>58</v>
      </c>
      <c r="B266" s="63">
        <v>0.1</v>
      </c>
      <c r="C266" s="63">
        <v>0</v>
      </c>
      <c r="D266" s="64">
        <v>1</v>
      </c>
      <c r="E266" s="50">
        <v>43496</v>
      </c>
      <c r="F266" s="45">
        <v>26942</v>
      </c>
      <c r="G266">
        <v>27100</v>
      </c>
      <c r="H266">
        <v>26700</v>
      </c>
      <c r="I266">
        <v>201</v>
      </c>
      <c r="J266">
        <v>183</v>
      </c>
      <c r="K266" s="36">
        <v>0.57291666666666663</v>
      </c>
      <c r="L266">
        <v>267</v>
      </c>
      <c r="M266">
        <v>119</v>
      </c>
      <c r="N266" s="43">
        <f>(I266+J266)-(L266+M266)</f>
        <v>-2</v>
      </c>
      <c r="O266" s="77">
        <f>ImpliedCallVolatility(F266,G266,((D266)/365),B266,I266,C266)</f>
        <v>0.47794342041015625</v>
      </c>
      <c r="P266" s="77">
        <f>ImpliedPutVolatility(F266,H266,((D266)/365),B266,J266,C266)</f>
        <v>0.51937103271484375</v>
      </c>
      <c r="Q266" t="str">
        <f t="shared" si="53"/>
        <v>Buy</v>
      </c>
      <c r="R266">
        <f t="shared" si="54"/>
        <v>268.79999999999995</v>
      </c>
      <c r="S266">
        <f t="shared" si="55"/>
        <v>27210.799999999999</v>
      </c>
      <c r="T266">
        <f t="shared" si="56"/>
        <v>26673.200000000001</v>
      </c>
      <c r="U266" s="36">
        <v>0.57291666666666663</v>
      </c>
      <c r="V266" s="60">
        <v>27188</v>
      </c>
      <c r="Y266" s="72">
        <f>SUM(N244:N266)</f>
        <v>255</v>
      </c>
      <c r="AB266">
        <v>26942</v>
      </c>
      <c r="AC266">
        <v>27287</v>
      </c>
      <c r="AE266">
        <f t="shared" si="15"/>
        <v>345</v>
      </c>
      <c r="AF266">
        <f t="shared" si="57"/>
        <v>7180</v>
      </c>
      <c r="AG266">
        <f>SUM(AE244:AE266)</f>
        <v>1820</v>
      </c>
      <c r="AI266">
        <f t="shared" si="49"/>
        <v>-4000</v>
      </c>
      <c r="AJ266">
        <f t="shared" si="50"/>
        <v>69000</v>
      </c>
      <c r="AL266">
        <f t="shared" si="51"/>
        <v>65000</v>
      </c>
      <c r="AM266">
        <f t="shared" si="52"/>
        <v>6617800</v>
      </c>
      <c r="AN266">
        <f>AM266-AM243</f>
        <v>874000</v>
      </c>
    </row>
    <row r="267" spans="1:40">
      <c r="B267" s="63">
        <v>0.1</v>
      </c>
      <c r="C267" s="63">
        <v>0</v>
      </c>
      <c r="D267" s="64">
        <v>5</v>
      </c>
      <c r="E267" s="34">
        <v>43497</v>
      </c>
      <c r="F267" s="45">
        <v>27260</v>
      </c>
      <c r="G267">
        <v>27500</v>
      </c>
      <c r="H267">
        <v>27000</v>
      </c>
      <c r="I267">
        <v>150</v>
      </c>
      <c r="J267">
        <v>147</v>
      </c>
      <c r="K267" s="36">
        <v>0.52361111111111114</v>
      </c>
      <c r="L267">
        <v>220</v>
      </c>
      <c r="M267">
        <v>86</v>
      </c>
      <c r="N267" s="43">
        <f t="shared" si="48"/>
        <v>-9</v>
      </c>
      <c r="O267" s="77">
        <f>ImpliedCallVolatility(F267,G267,((D267)/365),B267,I267,C267)</f>
        <v>0.18596649169921875</v>
      </c>
      <c r="P267" s="77">
        <f>ImpliedPutVolatility(F267,H267,((D267)/365),B267,J267,C267)</f>
        <v>0.21320343017578125</v>
      </c>
      <c r="Q267" t="str">
        <f t="shared" si="53"/>
        <v>Buy</v>
      </c>
      <c r="R267">
        <f t="shared" si="54"/>
        <v>207.89999999999998</v>
      </c>
      <c r="S267">
        <f t="shared" si="55"/>
        <v>27467.9</v>
      </c>
      <c r="T267">
        <f t="shared" si="56"/>
        <v>27052.1</v>
      </c>
      <c r="U267" s="36">
        <v>0.52361111111111114</v>
      </c>
      <c r="V267" s="60">
        <v>27405</v>
      </c>
      <c r="AB267">
        <v>27260</v>
      </c>
      <c r="AC267">
        <v>27210</v>
      </c>
      <c r="AE267">
        <f>AC267-AB267</f>
        <v>-50</v>
      </c>
      <c r="AF267">
        <f t="shared" si="57"/>
        <v>7130</v>
      </c>
      <c r="AI267">
        <f t="shared" si="49"/>
        <v>-18000</v>
      </c>
      <c r="AJ267">
        <f t="shared" si="50"/>
        <v>-10000</v>
      </c>
      <c r="AL267">
        <f t="shared" si="51"/>
        <v>-28000</v>
      </c>
      <c r="AM267">
        <f t="shared" si="52"/>
        <v>6589800</v>
      </c>
    </row>
    <row r="268" spans="1:40">
      <c r="B268" s="63">
        <v>0.1</v>
      </c>
      <c r="C268" s="63">
        <v>0</v>
      </c>
      <c r="D268" s="64">
        <v>4</v>
      </c>
      <c r="E268" s="37">
        <v>43500</v>
      </c>
      <c r="F268" s="45">
        <v>26926</v>
      </c>
      <c r="G268">
        <v>27000</v>
      </c>
      <c r="H268">
        <v>26800</v>
      </c>
      <c r="I268">
        <v>147</v>
      </c>
      <c r="J268">
        <v>138</v>
      </c>
      <c r="K268" s="36">
        <v>0.59166666666666667</v>
      </c>
      <c r="L268">
        <v>261</v>
      </c>
      <c r="M268">
        <v>75</v>
      </c>
      <c r="N268" s="43">
        <f t="shared" si="48"/>
        <v>-51</v>
      </c>
      <c r="O268" s="77">
        <f>ImpliedCallVolatility(F268,G268,((D268)/365),B268,I268,C268)</f>
        <v>0.14949798583984375</v>
      </c>
      <c r="P268" s="77">
        <f>ImpliedPutVolatility(F268,H268,((D268)/365),B268,J268,C268)</f>
        <v>0.18413543701171875</v>
      </c>
      <c r="Q268" t="str">
        <f t="shared" si="53"/>
        <v>Buy</v>
      </c>
      <c r="R268">
        <f t="shared" si="54"/>
        <v>199.5</v>
      </c>
      <c r="S268">
        <f t="shared" si="55"/>
        <v>27125.5</v>
      </c>
      <c r="T268">
        <f t="shared" si="56"/>
        <v>26726.5</v>
      </c>
      <c r="U268" s="36">
        <v>0.59166666666666667</v>
      </c>
      <c r="V268" s="60">
        <v>27135</v>
      </c>
      <c r="AB268">
        <v>26925</v>
      </c>
      <c r="AC268">
        <v>27216</v>
      </c>
      <c r="AE268">
        <f>AC268-AB268</f>
        <v>291</v>
      </c>
      <c r="AF268">
        <f t="shared" si="57"/>
        <v>7421</v>
      </c>
      <c r="AI268">
        <f t="shared" si="49"/>
        <v>-102000</v>
      </c>
      <c r="AJ268">
        <f t="shared" si="50"/>
        <v>58200</v>
      </c>
      <c r="AL268">
        <f t="shared" si="51"/>
        <v>-43800</v>
      </c>
      <c r="AM268">
        <f t="shared" si="52"/>
        <v>6546000</v>
      </c>
    </row>
    <row r="269" spans="1:40">
      <c r="B269" s="63">
        <v>0.1</v>
      </c>
      <c r="C269" s="63">
        <v>0</v>
      </c>
      <c r="D269" s="64">
        <v>3</v>
      </c>
      <c r="E269" s="37">
        <v>43501</v>
      </c>
      <c r="F269" s="45">
        <v>27183</v>
      </c>
      <c r="G269">
        <v>27200</v>
      </c>
      <c r="H269">
        <v>27200</v>
      </c>
      <c r="I269">
        <v>161</v>
      </c>
      <c r="J269">
        <v>160</v>
      </c>
      <c r="K269" s="36">
        <v>0.63541666666666663</v>
      </c>
      <c r="L269">
        <v>183</v>
      </c>
      <c r="M269">
        <v>117</v>
      </c>
      <c r="N269" s="43">
        <f t="shared" si="48"/>
        <v>21</v>
      </c>
      <c r="O269" s="77">
        <f>ImpliedCallVolatility(F269,G269,((D269)/365),B269,I269,C269)</f>
        <v>0.16101837158203125</v>
      </c>
      <c r="P269" s="77">
        <f>ImpliedPutVolatility(F269,H269,((D269)/365),B269,J269,C269)</f>
        <v>0.16544342041015625</v>
      </c>
      <c r="Q269" t="str">
        <f t="shared" si="53"/>
        <v>Buy</v>
      </c>
      <c r="R269">
        <f t="shared" si="54"/>
        <v>224.7</v>
      </c>
      <c r="S269">
        <f t="shared" si="55"/>
        <v>27407.7</v>
      </c>
      <c r="T269">
        <f t="shared" si="56"/>
        <v>26958.3</v>
      </c>
      <c r="U269" s="36">
        <v>0.63541666666666663</v>
      </c>
      <c r="V269" s="60">
        <v>27267</v>
      </c>
      <c r="AB269">
        <v>27183</v>
      </c>
      <c r="AC269">
        <v>27251</v>
      </c>
      <c r="AE269">
        <f t="shared" ref="AE269:AE305" si="58">AC269-AB269</f>
        <v>68</v>
      </c>
      <c r="AF269">
        <f t="shared" si="57"/>
        <v>7489</v>
      </c>
      <c r="AI269">
        <f t="shared" si="49"/>
        <v>42000</v>
      </c>
      <c r="AJ269">
        <f t="shared" si="50"/>
        <v>13600</v>
      </c>
      <c r="AL269">
        <f t="shared" si="51"/>
        <v>55600</v>
      </c>
      <c r="AM269">
        <f t="shared" si="52"/>
        <v>6601600</v>
      </c>
    </row>
    <row r="270" spans="1:40">
      <c r="A270" t="s">
        <v>57</v>
      </c>
      <c r="B270" s="63">
        <v>0.1</v>
      </c>
      <c r="C270" s="63">
        <v>0</v>
      </c>
      <c r="D270" s="64">
        <v>2</v>
      </c>
      <c r="E270" s="37">
        <v>43502</v>
      </c>
      <c r="F270" s="45">
        <v>27372</v>
      </c>
      <c r="G270">
        <v>27400</v>
      </c>
      <c r="H270">
        <v>27400</v>
      </c>
      <c r="I270">
        <v>129</v>
      </c>
      <c r="J270">
        <v>149</v>
      </c>
      <c r="K270" s="36">
        <v>0.63541666666666663</v>
      </c>
      <c r="L270">
        <v>108</v>
      </c>
      <c r="M270">
        <v>129</v>
      </c>
      <c r="N270" s="43">
        <f t="shared" si="48"/>
        <v>41</v>
      </c>
      <c r="O270" s="77">
        <f>ImpliedCallVolatility(F270,G270,((D270)/365),B270,I270,C270)</f>
        <v>0.16742706298828125</v>
      </c>
      <c r="P270" s="77">
        <f>ImpliedPutVolatility(F270,H270,((D270)/365),B270,J270,C270)</f>
        <v>0.17612457275390625</v>
      </c>
      <c r="Q270" t="str">
        <f t="shared" si="53"/>
        <v>Buy</v>
      </c>
      <c r="R270">
        <f t="shared" si="54"/>
        <v>194.6</v>
      </c>
      <c r="S270">
        <f t="shared" si="55"/>
        <v>27566.6</v>
      </c>
      <c r="T270">
        <f t="shared" si="56"/>
        <v>27177.4</v>
      </c>
      <c r="U270" s="36">
        <v>0.63541666666666663</v>
      </c>
      <c r="V270" s="60">
        <v>27398</v>
      </c>
      <c r="AB270">
        <v>27371</v>
      </c>
      <c r="AC270">
        <v>27403</v>
      </c>
      <c r="AE270">
        <f t="shared" si="58"/>
        <v>32</v>
      </c>
      <c r="AF270">
        <f t="shared" si="57"/>
        <v>7521</v>
      </c>
      <c r="AI270">
        <f t="shared" si="49"/>
        <v>82000</v>
      </c>
      <c r="AJ270">
        <f t="shared" si="50"/>
        <v>6400</v>
      </c>
      <c r="AL270">
        <f t="shared" si="51"/>
        <v>88400</v>
      </c>
      <c r="AM270">
        <f t="shared" si="52"/>
        <v>6690000</v>
      </c>
    </row>
    <row r="271" spans="1:40" ht="13.5" thickBot="1">
      <c r="A271" t="s">
        <v>58</v>
      </c>
      <c r="B271" s="63">
        <v>0.1</v>
      </c>
      <c r="C271" s="63">
        <v>0</v>
      </c>
      <c r="D271" s="64">
        <v>1</v>
      </c>
      <c r="E271" s="50">
        <v>43503</v>
      </c>
      <c r="F271" s="45">
        <v>27461</v>
      </c>
      <c r="G271">
        <v>27400</v>
      </c>
      <c r="H271">
        <v>27400</v>
      </c>
      <c r="I271">
        <v>125</v>
      </c>
      <c r="J271">
        <v>90</v>
      </c>
      <c r="K271" s="36">
        <v>0.63541666666666663</v>
      </c>
      <c r="L271">
        <v>15</v>
      </c>
      <c r="M271">
        <v>3</v>
      </c>
      <c r="N271" s="43">
        <f t="shared" si="48"/>
        <v>197</v>
      </c>
      <c r="O271" s="77">
        <f>ImpliedCallVolatility(F271,G271,((D271)/365),B271,I271,C271)</f>
        <v>0.15094757080078125</v>
      </c>
      <c r="P271" s="77">
        <f>ImpliedPutVolatility(F271,H271,((D271)/365),B271,J271,C271)</f>
        <v>0.21160125732421875</v>
      </c>
      <c r="Q271" t="str">
        <f t="shared" si="53"/>
        <v>Buy</v>
      </c>
      <c r="R271">
        <f t="shared" si="54"/>
        <v>150.5</v>
      </c>
      <c r="S271">
        <f t="shared" si="55"/>
        <v>27611.5</v>
      </c>
      <c r="T271">
        <f t="shared" si="56"/>
        <v>27310.5</v>
      </c>
      <c r="U271" s="36">
        <v>0.63541666666666663</v>
      </c>
      <c r="V271" s="60">
        <v>27404</v>
      </c>
      <c r="AB271">
        <v>27461</v>
      </c>
      <c r="AC271">
        <v>27366</v>
      </c>
      <c r="AE271">
        <f t="shared" si="58"/>
        <v>-95</v>
      </c>
      <c r="AF271">
        <f t="shared" si="57"/>
        <v>7426</v>
      </c>
      <c r="AI271">
        <f t="shared" si="49"/>
        <v>394000</v>
      </c>
      <c r="AJ271">
        <f t="shared" si="50"/>
        <v>-19000</v>
      </c>
      <c r="AL271">
        <f t="shared" si="51"/>
        <v>375000</v>
      </c>
      <c r="AM271">
        <f t="shared" si="52"/>
        <v>7065000</v>
      </c>
    </row>
    <row r="272" spans="1:40">
      <c r="B272" s="63">
        <v>0.1</v>
      </c>
      <c r="C272" s="63">
        <v>0</v>
      </c>
      <c r="D272" s="64">
        <v>5</v>
      </c>
      <c r="E272" s="34">
        <v>43504</v>
      </c>
      <c r="F272" s="45">
        <v>27273</v>
      </c>
      <c r="G272">
        <v>27300</v>
      </c>
      <c r="H272">
        <v>27300</v>
      </c>
      <c r="I272">
        <v>184</v>
      </c>
      <c r="J272">
        <v>208</v>
      </c>
      <c r="K272" s="36">
        <v>0.59027777777777779</v>
      </c>
      <c r="L272">
        <v>279</v>
      </c>
      <c r="M272">
        <v>112</v>
      </c>
      <c r="N272" s="43">
        <f t="shared" si="48"/>
        <v>1</v>
      </c>
      <c r="O272" s="77">
        <f>ImpliedCallVolatility(F272,G272,((D272)/365),B272,I272,C272)</f>
        <v>0.14041900634765625</v>
      </c>
      <c r="P272" s="77">
        <f>ImpliedPutVolatility(F272,H272,((D272)/365),B272,J272,C272)</f>
        <v>0.16742706298828125</v>
      </c>
      <c r="Q272" t="str">
        <f t="shared" si="53"/>
        <v>Buy</v>
      </c>
      <c r="R272">
        <f t="shared" si="54"/>
        <v>274.39999999999998</v>
      </c>
      <c r="S272">
        <f t="shared" si="55"/>
        <v>27547.4</v>
      </c>
      <c r="T272">
        <f t="shared" si="56"/>
        <v>26998.6</v>
      </c>
      <c r="U272" s="36">
        <v>0.59027777777777779</v>
      </c>
      <c r="V272" s="60">
        <v>27440</v>
      </c>
      <c r="W272">
        <v>27275</v>
      </c>
      <c r="X272">
        <f>ABS(V272-W272)</f>
        <v>165</v>
      </c>
      <c r="AB272">
        <v>27273</v>
      </c>
      <c r="AC272">
        <v>27432</v>
      </c>
      <c r="AE272">
        <f t="shared" si="58"/>
        <v>159</v>
      </c>
      <c r="AF272">
        <f t="shared" si="57"/>
        <v>7585</v>
      </c>
      <c r="AI272">
        <f t="shared" si="49"/>
        <v>2000</v>
      </c>
      <c r="AJ272">
        <f t="shared" si="50"/>
        <v>31800</v>
      </c>
      <c r="AL272">
        <f t="shared" si="51"/>
        <v>33800</v>
      </c>
      <c r="AM272">
        <f t="shared" si="52"/>
        <v>7098800</v>
      </c>
    </row>
    <row r="273" spans="1:40">
      <c r="B273" s="63">
        <v>0.1</v>
      </c>
      <c r="C273" s="63">
        <v>0</v>
      </c>
      <c r="D273" s="64">
        <v>4</v>
      </c>
      <c r="E273" s="37">
        <v>43507</v>
      </c>
      <c r="F273" s="45">
        <v>27209</v>
      </c>
      <c r="G273">
        <v>27200</v>
      </c>
      <c r="H273">
        <v>27200</v>
      </c>
      <c r="I273">
        <v>168</v>
      </c>
      <c r="J273">
        <v>159</v>
      </c>
      <c r="K273" s="36">
        <v>0.63541666666666663</v>
      </c>
      <c r="L273">
        <v>162</v>
      </c>
      <c r="M273">
        <v>126</v>
      </c>
      <c r="N273" s="43">
        <f t="shared" si="48"/>
        <v>39</v>
      </c>
      <c r="O273" s="77">
        <f>ImpliedCallVolatility(F273,G273,((D273)/365),B273,I273,C273)</f>
        <v>0.13011932373046875</v>
      </c>
      <c r="P273" s="77">
        <f>ImpliedPutVolatility(F273,H273,((D273)/365),B273,J273,C273)</f>
        <v>0.15651702880859375</v>
      </c>
      <c r="Q273" t="str">
        <f t="shared" si="53"/>
        <v>Buy</v>
      </c>
      <c r="R273">
        <f t="shared" si="54"/>
        <v>228.89999999999998</v>
      </c>
      <c r="S273">
        <f t="shared" si="55"/>
        <v>27437.9</v>
      </c>
      <c r="T273">
        <f t="shared" si="56"/>
        <v>26980.1</v>
      </c>
      <c r="U273" s="36">
        <v>0.63541666666666663</v>
      </c>
      <c r="V273" s="60">
        <v>27213</v>
      </c>
      <c r="AB273">
        <v>27209</v>
      </c>
      <c r="AC273">
        <v>27225</v>
      </c>
      <c r="AE273">
        <f t="shared" si="58"/>
        <v>16</v>
      </c>
      <c r="AF273">
        <f t="shared" si="57"/>
        <v>7601</v>
      </c>
      <c r="AI273">
        <f t="shared" si="49"/>
        <v>78000</v>
      </c>
      <c r="AJ273">
        <f t="shared" si="50"/>
        <v>3200</v>
      </c>
      <c r="AL273">
        <f t="shared" si="51"/>
        <v>81200</v>
      </c>
      <c r="AM273">
        <f t="shared" si="52"/>
        <v>7180000</v>
      </c>
    </row>
    <row r="274" spans="1:40">
      <c r="B274" s="63">
        <v>0.1</v>
      </c>
      <c r="C274" s="63">
        <v>0</v>
      </c>
      <c r="D274" s="64">
        <v>3</v>
      </c>
      <c r="E274" s="37">
        <v>43508</v>
      </c>
      <c r="F274" s="45">
        <v>27234</v>
      </c>
      <c r="G274">
        <v>27300</v>
      </c>
      <c r="H274">
        <v>27300</v>
      </c>
      <c r="I274">
        <v>128</v>
      </c>
      <c r="J274">
        <v>140</v>
      </c>
      <c r="K274" s="36">
        <v>0.61875000000000002</v>
      </c>
      <c r="L274">
        <v>55</v>
      </c>
      <c r="M274">
        <v>266</v>
      </c>
      <c r="N274" s="43">
        <f t="shared" si="48"/>
        <v>-53</v>
      </c>
      <c r="O274" s="77">
        <f>ImpliedCallVolatility(F274,G274,((D274)/365),B274,I274,C274)</f>
        <v>0.15094757080078125</v>
      </c>
      <c r="P274" s="77">
        <f>ImpliedPutVolatility(F274,H274,((D274)/365),B274,J274,C274)</f>
        <v>0.11859893798828125</v>
      </c>
      <c r="Q274" t="str">
        <f t="shared" si="53"/>
        <v>Sell</v>
      </c>
      <c r="R274">
        <f t="shared" si="54"/>
        <v>187.6</v>
      </c>
      <c r="S274">
        <f t="shared" si="55"/>
        <v>27421.599999999999</v>
      </c>
      <c r="T274">
        <f t="shared" si="56"/>
        <v>27046.400000000001</v>
      </c>
      <c r="U274" s="36">
        <v>0.61875000000000002</v>
      </c>
      <c r="V274" s="60">
        <v>27037</v>
      </c>
      <c r="AB274">
        <v>27037</v>
      </c>
      <c r="AC274">
        <v>27233</v>
      </c>
      <c r="AE274">
        <f t="shared" si="58"/>
        <v>196</v>
      </c>
      <c r="AF274">
        <f t="shared" si="57"/>
        <v>7797</v>
      </c>
      <c r="AI274">
        <f t="shared" si="49"/>
        <v>-106000</v>
      </c>
      <c r="AJ274">
        <f t="shared" si="50"/>
        <v>39200</v>
      </c>
      <c r="AL274">
        <f t="shared" si="51"/>
        <v>-66800</v>
      </c>
      <c r="AM274">
        <f t="shared" si="52"/>
        <v>7113200</v>
      </c>
    </row>
    <row r="275" spans="1:40">
      <c r="A275" t="s">
        <v>57</v>
      </c>
      <c r="B275" s="63">
        <v>0.1</v>
      </c>
      <c r="C275" s="63">
        <v>0</v>
      </c>
      <c r="D275" s="64">
        <v>2</v>
      </c>
      <c r="E275" s="37">
        <v>43509</v>
      </c>
      <c r="F275" s="45">
        <v>27064</v>
      </c>
      <c r="G275">
        <v>27000</v>
      </c>
      <c r="H275">
        <v>27200</v>
      </c>
      <c r="I275">
        <v>161</v>
      </c>
      <c r="J275">
        <v>160</v>
      </c>
      <c r="K275" s="36">
        <v>0.63541666666666663</v>
      </c>
      <c r="L275">
        <v>273</v>
      </c>
      <c r="M275">
        <v>53</v>
      </c>
      <c r="N275" s="43">
        <f>(I275+J275)-(L275+M275)</f>
        <v>-5</v>
      </c>
      <c r="O275" s="77">
        <f>ImpliedCallVolatility(F275,G275,((D275)/365),B275,I275,C275)</f>
        <v>0.14713287353515625</v>
      </c>
      <c r="P275" s="77">
        <f>ImpliedPutVolatility(F275,H275,((D275)/365),B275,J275,C275)</f>
        <v>0.10768890380859375</v>
      </c>
      <c r="Q275" t="str">
        <f t="shared" si="53"/>
        <v>Sell</v>
      </c>
      <c r="R275">
        <f t="shared" si="54"/>
        <v>224.7</v>
      </c>
      <c r="S275">
        <f t="shared" si="55"/>
        <v>27288.7</v>
      </c>
      <c r="T275">
        <f t="shared" si="56"/>
        <v>26839.3</v>
      </c>
      <c r="U275" s="36">
        <v>0.63541666666666663</v>
      </c>
      <c r="V275" s="60">
        <v>26876</v>
      </c>
      <c r="AB275">
        <v>26958</v>
      </c>
      <c r="AC275">
        <v>27064</v>
      </c>
      <c r="AE275">
        <f t="shared" si="58"/>
        <v>106</v>
      </c>
      <c r="AF275">
        <f t="shared" si="57"/>
        <v>7903</v>
      </c>
      <c r="AI275">
        <f t="shared" si="49"/>
        <v>-10000</v>
      </c>
      <c r="AJ275">
        <f t="shared" si="50"/>
        <v>21200</v>
      </c>
      <c r="AL275">
        <f t="shared" si="51"/>
        <v>11200</v>
      </c>
      <c r="AM275">
        <f t="shared" si="52"/>
        <v>7124400</v>
      </c>
    </row>
    <row r="276" spans="1:40" ht="13.5" thickBot="1">
      <c r="A276" t="s">
        <v>58</v>
      </c>
      <c r="B276" s="63">
        <v>0.1</v>
      </c>
      <c r="C276" s="63">
        <v>0</v>
      </c>
      <c r="D276" s="64">
        <v>1</v>
      </c>
      <c r="E276" s="50">
        <v>43510</v>
      </c>
      <c r="F276">
        <v>26875</v>
      </c>
      <c r="G276">
        <v>26900</v>
      </c>
      <c r="H276">
        <v>26900</v>
      </c>
      <c r="I276">
        <v>55</v>
      </c>
      <c r="J276">
        <v>75</v>
      </c>
      <c r="K276" s="36">
        <v>0.63541666666666663</v>
      </c>
      <c r="L276">
        <v>66</v>
      </c>
      <c r="M276">
        <v>0</v>
      </c>
      <c r="N276" s="43">
        <f t="shared" si="48"/>
        <v>64</v>
      </c>
      <c r="O276" s="77">
        <f>ImpliedCallVolatility(F276,G276,((D276)/365),B276,I276,C276)</f>
        <v>0.11295318603515625</v>
      </c>
      <c r="P276" s="77">
        <f>ImpliedPutVolatility(F276,H276,((D276)/365),B276,J276,C276)</f>
        <v>0.11722564697265625</v>
      </c>
      <c r="Q276" t="str">
        <f t="shared" si="53"/>
        <v>Buy</v>
      </c>
      <c r="R276">
        <f t="shared" si="54"/>
        <v>91</v>
      </c>
      <c r="S276">
        <f t="shared" si="55"/>
        <v>26966</v>
      </c>
      <c r="T276">
        <f t="shared" si="56"/>
        <v>26784</v>
      </c>
      <c r="U276" s="36">
        <v>0.63541666666666663</v>
      </c>
      <c r="V276" s="60">
        <v>26961</v>
      </c>
      <c r="AB276">
        <v>26878</v>
      </c>
      <c r="AC276">
        <v>26944</v>
      </c>
      <c r="AE276">
        <f t="shared" si="58"/>
        <v>66</v>
      </c>
      <c r="AF276">
        <f t="shared" si="57"/>
        <v>7969</v>
      </c>
      <c r="AI276">
        <f t="shared" si="49"/>
        <v>128000</v>
      </c>
      <c r="AJ276">
        <f t="shared" si="50"/>
        <v>13200</v>
      </c>
      <c r="AL276">
        <f t="shared" si="51"/>
        <v>141200</v>
      </c>
      <c r="AM276">
        <f t="shared" si="52"/>
        <v>7265600</v>
      </c>
    </row>
    <row r="277" spans="1:40">
      <c r="B277" s="63">
        <v>0.1</v>
      </c>
      <c r="C277" s="63">
        <v>0</v>
      </c>
      <c r="D277" s="64">
        <v>5</v>
      </c>
      <c r="E277" s="34">
        <v>43511</v>
      </c>
      <c r="F277">
        <v>26861</v>
      </c>
      <c r="G277">
        <v>26900</v>
      </c>
      <c r="H277">
        <v>26900</v>
      </c>
      <c r="I277">
        <v>212</v>
      </c>
      <c r="J277">
        <v>221</v>
      </c>
      <c r="K277" s="36">
        <v>0.4694444444444445</v>
      </c>
      <c r="L277">
        <v>144</v>
      </c>
      <c r="M277">
        <v>365</v>
      </c>
      <c r="N277" s="43">
        <f t="shared" si="48"/>
        <v>-76</v>
      </c>
      <c r="O277" s="77">
        <f>ImpliedCallVolatility(F277,G277,((D277)/365),B277,I277,C277)</f>
        <v>0.16986846923828125</v>
      </c>
      <c r="P277" s="77">
        <f>ImpliedPutVolatility(F277,H277,((D277)/365),B277,J277,C277)</f>
        <v>0.17536163330078125</v>
      </c>
      <c r="Q277" t="str">
        <f t="shared" si="53"/>
        <v>Buy</v>
      </c>
      <c r="R277">
        <f t="shared" si="54"/>
        <v>303.09999999999997</v>
      </c>
      <c r="S277">
        <f t="shared" si="55"/>
        <v>27164.1</v>
      </c>
      <c r="T277">
        <f t="shared" si="56"/>
        <v>26557.9</v>
      </c>
      <c r="U277" s="36">
        <v>0.4694444444444445</v>
      </c>
      <c r="V277" s="60">
        <v>26683</v>
      </c>
      <c r="AB277">
        <v>26861</v>
      </c>
      <c r="AC277" s="73">
        <v>26661</v>
      </c>
      <c r="AE277">
        <f t="shared" si="58"/>
        <v>-200</v>
      </c>
      <c r="AF277">
        <f t="shared" si="57"/>
        <v>7769</v>
      </c>
      <c r="AI277">
        <f t="shared" si="49"/>
        <v>-152000</v>
      </c>
      <c r="AJ277">
        <f t="shared" si="50"/>
        <v>-40000</v>
      </c>
      <c r="AL277">
        <f t="shared" si="51"/>
        <v>-192000</v>
      </c>
      <c r="AM277">
        <f t="shared" si="52"/>
        <v>7073600</v>
      </c>
    </row>
    <row r="278" spans="1:40">
      <c r="B278" s="63">
        <v>0.1</v>
      </c>
      <c r="C278" s="63">
        <v>0</v>
      </c>
      <c r="D278" s="64">
        <v>4</v>
      </c>
      <c r="E278" s="37">
        <v>43514</v>
      </c>
      <c r="F278">
        <v>26750</v>
      </c>
      <c r="G278">
        <v>26800</v>
      </c>
      <c r="H278">
        <v>26800</v>
      </c>
      <c r="I278">
        <v>189</v>
      </c>
      <c r="J278">
        <v>199</v>
      </c>
      <c r="K278" s="36">
        <v>0.63541666666666663</v>
      </c>
      <c r="L278">
        <v>148</v>
      </c>
      <c r="M278">
        <v>214</v>
      </c>
      <c r="N278" s="43">
        <f t="shared" si="48"/>
        <v>26</v>
      </c>
      <c r="O278" s="77">
        <f>ImpliedCallVolatility(F278,G278,((D278)/365),B278,I278,C278)</f>
        <v>0.17818450927734375</v>
      </c>
      <c r="P278" s="77">
        <f>ImpliedPutVolatility(F278,H278,((D278)/365),B278,J278,C278)</f>
        <v>0.16864776611328125</v>
      </c>
      <c r="Q278" t="str">
        <f t="shared" si="53"/>
        <v>Sell</v>
      </c>
      <c r="R278">
        <f t="shared" si="54"/>
        <v>271.59999999999997</v>
      </c>
      <c r="S278">
        <f t="shared" si="55"/>
        <v>27021.599999999999</v>
      </c>
      <c r="T278">
        <f t="shared" si="56"/>
        <v>26478.400000000001</v>
      </c>
      <c r="AB278">
        <v>26667</v>
      </c>
      <c r="AC278" s="73">
        <v>26749</v>
      </c>
      <c r="AE278">
        <f t="shared" si="58"/>
        <v>82</v>
      </c>
      <c r="AF278">
        <f t="shared" si="57"/>
        <v>7851</v>
      </c>
      <c r="AI278">
        <f t="shared" si="49"/>
        <v>52000</v>
      </c>
      <c r="AJ278">
        <f t="shared" si="50"/>
        <v>16400</v>
      </c>
      <c r="AL278">
        <f t="shared" si="51"/>
        <v>68400</v>
      </c>
      <c r="AM278">
        <f t="shared" si="52"/>
        <v>7142000</v>
      </c>
    </row>
    <row r="279" spans="1:40">
      <c r="B279" s="63">
        <v>0.1</v>
      </c>
      <c r="C279" s="63">
        <v>0</v>
      </c>
      <c r="D279" s="64">
        <v>3</v>
      </c>
      <c r="E279" s="37">
        <v>43515</v>
      </c>
      <c r="F279" s="32">
        <v>26765</v>
      </c>
      <c r="G279">
        <v>26800</v>
      </c>
      <c r="H279">
        <v>26800</v>
      </c>
      <c r="I279">
        <v>158</v>
      </c>
      <c r="J279">
        <v>178</v>
      </c>
      <c r="K279" s="36">
        <v>0.55208333333333337</v>
      </c>
      <c r="L279">
        <v>231</v>
      </c>
      <c r="M279">
        <v>118</v>
      </c>
      <c r="N279" s="43">
        <f t="shared" si="48"/>
        <v>-13</v>
      </c>
      <c r="O279" s="77">
        <f>ImpliedCallVolatility(F279,G279,((D279)/365),B279,I279,C279)</f>
        <v>0.16979217529296875</v>
      </c>
      <c r="P279" s="77">
        <f>ImpliedPutVolatility(F279,H279,((D279)/365),B279,J279,C279)</f>
        <v>0.17704010009765625</v>
      </c>
      <c r="Q279" t="str">
        <f t="shared" si="53"/>
        <v>Buy</v>
      </c>
      <c r="AB279">
        <v>26765</v>
      </c>
      <c r="AC279" s="73">
        <v>26832</v>
      </c>
      <c r="AE279">
        <f t="shared" si="58"/>
        <v>67</v>
      </c>
      <c r="AF279">
        <f t="shared" si="57"/>
        <v>7918</v>
      </c>
      <c r="AI279">
        <f t="shared" si="49"/>
        <v>-26000</v>
      </c>
      <c r="AJ279">
        <f t="shared" si="50"/>
        <v>13400</v>
      </c>
      <c r="AL279">
        <f t="shared" si="51"/>
        <v>-12600</v>
      </c>
      <c r="AM279">
        <f t="shared" si="52"/>
        <v>7129400</v>
      </c>
    </row>
    <row r="280" spans="1:40">
      <c r="A280" t="s">
        <v>57</v>
      </c>
      <c r="B280" s="63">
        <v>0.1</v>
      </c>
      <c r="C280" s="63">
        <v>0</v>
      </c>
      <c r="D280" s="64">
        <v>2</v>
      </c>
      <c r="E280" s="37">
        <v>43516</v>
      </c>
      <c r="F280" s="45">
        <v>26877</v>
      </c>
      <c r="G280">
        <v>26900</v>
      </c>
      <c r="H280">
        <v>26900</v>
      </c>
      <c r="I280">
        <v>98</v>
      </c>
      <c r="J280">
        <v>129</v>
      </c>
      <c r="K280" s="36">
        <v>0.63541666666666663</v>
      </c>
      <c r="L280">
        <v>119</v>
      </c>
      <c r="M280">
        <v>67</v>
      </c>
      <c r="N280" s="43">
        <f t="shared" si="48"/>
        <v>41</v>
      </c>
      <c r="O280" s="77">
        <f>ImpliedCallVolatility(F280,G280,((D280)/365),B280,I280,C280)</f>
        <v>0.12859344482421875</v>
      </c>
      <c r="P280" s="77">
        <f>ImpliedPutVolatility(F280,H280,((D280)/365),B280,J280,C280)</f>
        <v>0.15727996826171875</v>
      </c>
      <c r="Q280" t="str">
        <f t="shared" si="53"/>
        <v>Buy</v>
      </c>
      <c r="AB280">
        <v>26876</v>
      </c>
      <c r="AC280" s="73">
        <v>26869</v>
      </c>
      <c r="AE280">
        <f t="shared" si="58"/>
        <v>-7</v>
      </c>
      <c r="AF280">
        <f t="shared" si="57"/>
        <v>7911</v>
      </c>
      <c r="AI280">
        <f t="shared" si="49"/>
        <v>82000</v>
      </c>
      <c r="AJ280">
        <f t="shared" si="50"/>
        <v>-1400</v>
      </c>
      <c r="AL280">
        <f t="shared" si="51"/>
        <v>80600</v>
      </c>
      <c r="AM280">
        <f t="shared" si="52"/>
        <v>7210000</v>
      </c>
    </row>
    <row r="281" spans="1:40" ht="13.5" thickBot="1">
      <c r="A281" t="s">
        <v>58</v>
      </c>
      <c r="B281" s="63">
        <v>0.1</v>
      </c>
      <c r="C281" s="63">
        <v>0</v>
      </c>
      <c r="D281" s="64">
        <v>1</v>
      </c>
      <c r="E281" s="50">
        <v>43517</v>
      </c>
      <c r="F281" s="45">
        <v>27047</v>
      </c>
      <c r="G281">
        <v>27000</v>
      </c>
      <c r="H281">
        <v>27000</v>
      </c>
      <c r="I281">
        <v>45</v>
      </c>
      <c r="J281">
        <v>88</v>
      </c>
      <c r="K281" s="36">
        <v>0.63541666666666663</v>
      </c>
      <c r="L281">
        <v>0.05</v>
      </c>
      <c r="M281">
        <v>31</v>
      </c>
      <c r="N281" s="43">
        <f t="shared" si="48"/>
        <v>101.95</v>
      </c>
      <c r="O281" s="77">
        <f>ImpliedCallVolatility(F281,G281,((D281)/365),B281,I281,C281)</f>
        <v>3.814697265625E-5</v>
      </c>
      <c r="P281" s="77">
        <f>ImpliedPutVolatility(F281,H281,((D281)/365),B281,J281,C281)</f>
        <v>0.20046234130859375</v>
      </c>
      <c r="Q281" t="str">
        <f t="shared" si="53"/>
        <v>Buy</v>
      </c>
      <c r="AB281">
        <v>27046</v>
      </c>
      <c r="AC281" s="73">
        <v>27065</v>
      </c>
      <c r="AE281">
        <f t="shared" si="58"/>
        <v>19</v>
      </c>
      <c r="AF281">
        <f t="shared" si="57"/>
        <v>7930</v>
      </c>
      <c r="AI281">
        <f t="shared" si="49"/>
        <v>203900</v>
      </c>
      <c r="AJ281">
        <f t="shared" si="50"/>
        <v>3800</v>
      </c>
      <c r="AL281">
        <f t="shared" si="51"/>
        <v>207700</v>
      </c>
      <c r="AM281">
        <f t="shared" si="52"/>
        <v>7417700</v>
      </c>
    </row>
    <row r="282" spans="1:40">
      <c r="B282" s="63">
        <v>0.1</v>
      </c>
      <c r="C282" s="63">
        <v>0</v>
      </c>
      <c r="D282" s="64">
        <v>5</v>
      </c>
      <c r="E282" s="34">
        <v>43518</v>
      </c>
      <c r="F282" s="45">
        <v>26941</v>
      </c>
      <c r="G282">
        <v>27000</v>
      </c>
      <c r="H282">
        <v>26900</v>
      </c>
      <c r="I282">
        <v>196</v>
      </c>
      <c r="J282">
        <v>140</v>
      </c>
      <c r="K282" s="36">
        <v>0.63541666666666663</v>
      </c>
      <c r="L282">
        <v>146</v>
      </c>
      <c r="M282">
        <v>155</v>
      </c>
      <c r="N282" s="43">
        <f t="shared" si="48"/>
        <v>35</v>
      </c>
      <c r="O282" s="77">
        <f>ImpliedCallVolatility(F282,G282,((D282)/365),B282,I282,C282)</f>
        <v>0.16437530517578125</v>
      </c>
      <c r="P282" s="77">
        <f>ImpliedPutVolatility(F282,H282,((D282)/365),B282,J282,C282)</f>
        <v>0.14026641845703125</v>
      </c>
      <c r="Q282" t="str">
        <f t="shared" si="53"/>
        <v>Sell</v>
      </c>
      <c r="AB282">
        <v>26870</v>
      </c>
      <c r="AC282">
        <v>26941</v>
      </c>
      <c r="AE282">
        <f t="shared" si="58"/>
        <v>71</v>
      </c>
      <c r="AF282">
        <f t="shared" si="57"/>
        <v>8001</v>
      </c>
      <c r="AI282">
        <f t="shared" si="49"/>
        <v>70000</v>
      </c>
      <c r="AJ282">
        <f t="shared" si="50"/>
        <v>14200</v>
      </c>
      <c r="AL282">
        <f t="shared" si="51"/>
        <v>84200</v>
      </c>
      <c r="AM282">
        <f t="shared" si="52"/>
        <v>7501900</v>
      </c>
    </row>
    <row r="283" spans="1:40">
      <c r="B283" s="63">
        <v>0.1</v>
      </c>
      <c r="C283" s="63">
        <v>0</v>
      </c>
      <c r="D283" s="64">
        <v>4</v>
      </c>
      <c r="E283" s="37">
        <v>43521</v>
      </c>
      <c r="F283" s="45">
        <v>26986</v>
      </c>
      <c r="G283">
        <v>27000</v>
      </c>
      <c r="H283">
        <v>27000</v>
      </c>
      <c r="I283">
        <v>167</v>
      </c>
      <c r="J283">
        <v>133</v>
      </c>
      <c r="K283" s="36">
        <v>0.63541666666666663</v>
      </c>
      <c r="L283">
        <v>253</v>
      </c>
      <c r="M283">
        <v>69</v>
      </c>
      <c r="N283" s="43">
        <f t="shared" si="48"/>
        <v>-22</v>
      </c>
      <c r="O283" s="77">
        <f>ImpliedCallVolatility(F283,G283,((D283)/365),B283,I283,C283)</f>
        <v>0.14118194580078125</v>
      </c>
      <c r="P283" s="77">
        <f>ImpliedPutVolatility(F283,H283,((D283)/365),B283,J283,C283)</f>
        <v>0.12485504150390625</v>
      </c>
      <c r="Q283" t="str">
        <f t="shared" si="53"/>
        <v>Sell</v>
      </c>
      <c r="AB283">
        <v>27113</v>
      </c>
      <c r="AC283">
        <v>26985</v>
      </c>
      <c r="AE283">
        <f t="shared" si="58"/>
        <v>-128</v>
      </c>
      <c r="AF283">
        <f t="shared" si="57"/>
        <v>7873</v>
      </c>
      <c r="AI283">
        <f t="shared" si="49"/>
        <v>-44000</v>
      </c>
      <c r="AJ283">
        <f t="shared" si="50"/>
        <v>-25600</v>
      </c>
      <c r="AL283">
        <f t="shared" si="51"/>
        <v>-69600</v>
      </c>
      <c r="AM283">
        <f t="shared" si="52"/>
        <v>7432300</v>
      </c>
    </row>
    <row r="284" spans="1:40">
      <c r="B284" s="63">
        <v>0.1</v>
      </c>
      <c r="C284" s="63">
        <v>0</v>
      </c>
      <c r="D284" s="64">
        <v>3</v>
      </c>
      <c r="E284" s="37">
        <v>43522</v>
      </c>
      <c r="F284" s="45">
        <v>26877</v>
      </c>
      <c r="G284">
        <v>26900</v>
      </c>
      <c r="H284">
        <v>26900</v>
      </c>
      <c r="I284">
        <v>163</v>
      </c>
      <c r="J284">
        <v>167</v>
      </c>
      <c r="K284" s="36">
        <v>0.61458333333333337</v>
      </c>
      <c r="L284">
        <v>275</v>
      </c>
      <c r="M284">
        <v>91</v>
      </c>
      <c r="N284" s="43">
        <f t="shared" si="48"/>
        <v>-36</v>
      </c>
      <c r="O284" s="77">
        <f>ImpliedCallVolatility(F284,G284,((D284)/365),B284,I284,C284)</f>
        <v>0.16811370849609375</v>
      </c>
      <c r="P284" s="77">
        <f>ImpliedPutVolatility(F284,H284,((D284)/365),B284,J284,C284)</f>
        <v>0.17131805419921875</v>
      </c>
      <c r="Q284" t="str">
        <f t="shared" si="53"/>
        <v>Buy</v>
      </c>
      <c r="AB284">
        <v>27877</v>
      </c>
      <c r="AC284">
        <v>27903</v>
      </c>
      <c r="AE284">
        <f t="shared" si="58"/>
        <v>26</v>
      </c>
      <c r="AF284">
        <f t="shared" si="57"/>
        <v>7899</v>
      </c>
      <c r="AI284">
        <f t="shared" si="49"/>
        <v>-72000</v>
      </c>
      <c r="AJ284">
        <f t="shared" si="50"/>
        <v>5200</v>
      </c>
      <c r="AL284">
        <f t="shared" si="51"/>
        <v>-66800</v>
      </c>
      <c r="AM284">
        <f t="shared" si="52"/>
        <v>7365500</v>
      </c>
    </row>
    <row r="285" spans="1:40">
      <c r="A285" t="s">
        <v>57</v>
      </c>
      <c r="B285" s="63">
        <v>0.1</v>
      </c>
      <c r="C285" s="63">
        <v>0</v>
      </c>
      <c r="D285" s="64">
        <v>2</v>
      </c>
      <c r="E285" s="37">
        <v>43523</v>
      </c>
      <c r="F285" s="45">
        <v>27166</v>
      </c>
      <c r="G285">
        <v>27200</v>
      </c>
      <c r="H285">
        <v>27200</v>
      </c>
      <c r="I285">
        <v>88</v>
      </c>
      <c r="J285">
        <v>125</v>
      </c>
      <c r="K285" s="36">
        <v>0.4861111111111111</v>
      </c>
      <c r="L285">
        <v>54</v>
      </c>
      <c r="M285">
        <v>260</v>
      </c>
      <c r="N285" s="43">
        <f t="shared" si="48"/>
        <v>-101</v>
      </c>
      <c r="O285" s="77">
        <f>ImpliedCallVolatility(F285,G285,((D285)/365),B285,I285,C285)</f>
        <v>0.12119293212890625</v>
      </c>
      <c r="P285" s="77">
        <f>ImpliedPutVolatility(F285,H285,((D285)/365),B285,J285,C285)</f>
        <v>0.14354705810546875</v>
      </c>
      <c r="Q285" t="str">
        <f t="shared" si="53"/>
        <v>Buy</v>
      </c>
      <c r="AB285">
        <v>27165</v>
      </c>
      <c r="AC285">
        <v>27008</v>
      </c>
      <c r="AE285">
        <f t="shared" si="58"/>
        <v>-157</v>
      </c>
      <c r="AF285">
        <f t="shared" si="57"/>
        <v>7742</v>
      </c>
      <c r="AI285">
        <f t="shared" si="49"/>
        <v>-202000</v>
      </c>
      <c r="AJ285">
        <f t="shared" si="50"/>
        <v>-31400</v>
      </c>
      <c r="AL285">
        <f t="shared" si="51"/>
        <v>-233400</v>
      </c>
      <c r="AM285">
        <f t="shared" si="52"/>
        <v>7132100</v>
      </c>
    </row>
    <row r="286" spans="1:40" ht="13.5" thickBot="1">
      <c r="A286" t="s">
        <v>58</v>
      </c>
      <c r="B286" s="63">
        <v>0.1</v>
      </c>
      <c r="C286" s="63">
        <v>0</v>
      </c>
      <c r="D286" s="64">
        <v>1</v>
      </c>
      <c r="E286" s="50">
        <v>43524</v>
      </c>
      <c r="F286" s="45">
        <v>26886</v>
      </c>
      <c r="G286">
        <v>26900</v>
      </c>
      <c r="H286">
        <v>26900</v>
      </c>
      <c r="I286">
        <v>74</v>
      </c>
      <c r="J286">
        <v>85</v>
      </c>
      <c r="K286" s="36">
        <v>0.63541666666666663</v>
      </c>
      <c r="L286" s="39">
        <v>0.95</v>
      </c>
      <c r="M286" s="39">
        <v>105</v>
      </c>
      <c r="N286" s="43">
        <f t="shared" si="48"/>
        <v>53.05</v>
      </c>
      <c r="O286" s="77">
        <f>ImpliedCallVolatility(F286,G286,((D286)/365),B286,I286,C286)</f>
        <v>0.13759613037109375</v>
      </c>
      <c r="P286" s="77">
        <f>ImpliedPutVolatility(F286,H286,((D286)/365),B286,J286,C286)</f>
        <v>0.14537811279296875</v>
      </c>
      <c r="Q286" t="str">
        <f t="shared" si="53"/>
        <v>Buy</v>
      </c>
      <c r="Y286" s="72">
        <f>SUM(N268:N286)</f>
        <v>263</v>
      </c>
      <c r="AB286">
        <v>26885</v>
      </c>
      <c r="AC286">
        <v>26858</v>
      </c>
      <c r="AE286">
        <f t="shared" si="58"/>
        <v>-27</v>
      </c>
      <c r="AF286">
        <f t="shared" si="57"/>
        <v>7715</v>
      </c>
      <c r="AG286">
        <f>SUM(AE267:AE286)</f>
        <v>535</v>
      </c>
      <c r="AH286" s="7"/>
      <c r="AI286">
        <f t="shared" si="49"/>
        <v>106100</v>
      </c>
      <c r="AJ286">
        <f t="shared" si="50"/>
        <v>-5400</v>
      </c>
      <c r="AL286">
        <f t="shared" si="51"/>
        <v>100700</v>
      </c>
      <c r="AM286">
        <f t="shared" si="52"/>
        <v>7232800</v>
      </c>
      <c r="AN286">
        <f>AM286-AM266</f>
        <v>615000</v>
      </c>
    </row>
    <row r="287" spans="1:40">
      <c r="B287" s="63">
        <v>0.1</v>
      </c>
      <c r="C287" s="63">
        <v>0</v>
      </c>
      <c r="D287" s="64">
        <v>4</v>
      </c>
      <c r="E287" s="34">
        <v>43525</v>
      </c>
      <c r="F287" s="45">
        <v>27001</v>
      </c>
      <c r="G287">
        <v>27100</v>
      </c>
      <c r="H287">
        <v>27000</v>
      </c>
      <c r="I287">
        <v>160</v>
      </c>
      <c r="J287">
        <v>173</v>
      </c>
      <c r="K287" s="36">
        <v>0.63541666666666663</v>
      </c>
      <c r="L287" s="39">
        <v>169</v>
      </c>
      <c r="M287" s="39">
        <v>137</v>
      </c>
      <c r="N287" s="43">
        <f t="shared" si="48"/>
        <v>27</v>
      </c>
      <c r="O287" s="77">
        <f>ImpliedCallVolatility(F287,G287,((D287)/365),B287,I287,C287)</f>
        <v>0.17063140869140625</v>
      </c>
      <c r="P287" s="77">
        <f>ImpliedPutVolatility(F287,H287,((D287)/365),B287,J287,C287)</f>
        <v>0.16674041748046875</v>
      </c>
      <c r="Q287" t="str">
        <f t="shared" si="53"/>
        <v>Sell</v>
      </c>
      <c r="AB287">
        <v>27001</v>
      </c>
      <c r="AC287">
        <v>27027</v>
      </c>
      <c r="AE287">
        <f t="shared" si="58"/>
        <v>26</v>
      </c>
      <c r="AF287">
        <f t="shared" si="57"/>
        <v>7741</v>
      </c>
      <c r="AI287">
        <f t="shared" si="49"/>
        <v>54000</v>
      </c>
      <c r="AJ287">
        <f t="shared" si="50"/>
        <v>5200</v>
      </c>
      <c r="AL287">
        <f t="shared" si="51"/>
        <v>59200</v>
      </c>
      <c r="AM287">
        <f t="shared" si="52"/>
        <v>7292000</v>
      </c>
    </row>
    <row r="288" spans="1:40">
      <c r="B288" s="63">
        <v>0.1</v>
      </c>
      <c r="C288" s="63">
        <v>0</v>
      </c>
      <c r="D288" s="64">
        <v>3</v>
      </c>
      <c r="E288" s="37">
        <v>43529</v>
      </c>
      <c r="F288" s="45">
        <v>27056</v>
      </c>
      <c r="G288">
        <v>27100</v>
      </c>
      <c r="H288">
        <v>27000</v>
      </c>
      <c r="I288">
        <v>122</v>
      </c>
      <c r="J288">
        <v>122</v>
      </c>
      <c r="K288" s="36">
        <v>0.52500000000000002</v>
      </c>
      <c r="L288">
        <v>219</v>
      </c>
      <c r="M288">
        <v>67</v>
      </c>
      <c r="N288" s="43">
        <f t="shared" si="48"/>
        <v>-42</v>
      </c>
      <c r="O288" s="77">
        <f>ImpliedCallVolatility(F288,G288,((D288)/365),B288,I288,C288)</f>
        <v>0.13545989990234375</v>
      </c>
      <c r="P288" s="77">
        <f>ImpliedPutVolatility(F288,H288,((D288)/365),B288,J288,C288)</f>
        <v>0.16170501708984375</v>
      </c>
      <c r="Q288" t="str">
        <f t="shared" si="53"/>
        <v>Buy</v>
      </c>
      <c r="AB288">
        <v>27056</v>
      </c>
      <c r="AC288">
        <v>27556</v>
      </c>
      <c r="AE288">
        <f t="shared" si="58"/>
        <v>500</v>
      </c>
      <c r="AF288">
        <f t="shared" si="57"/>
        <v>8241</v>
      </c>
      <c r="AI288">
        <f t="shared" si="49"/>
        <v>-84000</v>
      </c>
      <c r="AJ288">
        <f t="shared" si="50"/>
        <v>100000</v>
      </c>
      <c r="AL288">
        <f t="shared" si="51"/>
        <v>16000</v>
      </c>
      <c r="AM288">
        <f t="shared" si="52"/>
        <v>7308000</v>
      </c>
    </row>
    <row r="289" spans="1:39">
      <c r="A289" t="s">
        <v>57</v>
      </c>
      <c r="B289" s="63">
        <v>0.1</v>
      </c>
      <c r="C289" s="63">
        <v>0</v>
      </c>
      <c r="D289" s="64">
        <v>2</v>
      </c>
      <c r="E289" s="37">
        <v>43530</v>
      </c>
      <c r="F289" s="45">
        <v>27667</v>
      </c>
      <c r="G289">
        <v>27700</v>
      </c>
      <c r="H289">
        <v>27600</v>
      </c>
      <c r="I289">
        <v>89</v>
      </c>
      <c r="J289">
        <v>94</v>
      </c>
      <c r="K289" s="36">
        <v>0.63541666666666663</v>
      </c>
      <c r="L289">
        <v>90</v>
      </c>
      <c r="M289">
        <v>37</v>
      </c>
      <c r="N289" s="43">
        <f t="shared" si="48"/>
        <v>56</v>
      </c>
      <c r="O289" s="77">
        <f>ImpliedCallVolatility(F289,G289,((D289)/365),B289,I289,C289)</f>
        <v>0.11951446533203125</v>
      </c>
      <c r="P289" s="77">
        <f>ImpliedPutVolatility(F289,H289,((D289)/365),B289,J289,C289)</f>
        <v>0.16056060791015625</v>
      </c>
      <c r="Q289" t="str">
        <f t="shared" si="53"/>
        <v>Buy</v>
      </c>
      <c r="S289">
        <f>F290+81</f>
        <v>27681</v>
      </c>
      <c r="T289">
        <f>F290-81</f>
        <v>27519</v>
      </c>
      <c r="AB289">
        <v>27666</v>
      </c>
      <c r="AC289">
        <v>27598</v>
      </c>
      <c r="AE289">
        <f t="shared" si="58"/>
        <v>-68</v>
      </c>
      <c r="AF289">
        <f t="shared" si="57"/>
        <v>8173</v>
      </c>
      <c r="AI289">
        <f t="shared" si="49"/>
        <v>112000</v>
      </c>
      <c r="AJ289">
        <f t="shared" si="50"/>
        <v>-13600</v>
      </c>
      <c r="AL289">
        <f t="shared" si="51"/>
        <v>98400</v>
      </c>
      <c r="AM289">
        <f t="shared" si="52"/>
        <v>7406400</v>
      </c>
    </row>
    <row r="290" spans="1:39" ht="13.5" thickBot="1">
      <c r="A290" t="s">
        <v>58</v>
      </c>
      <c r="B290" s="63">
        <v>0.1</v>
      </c>
      <c r="C290" s="63">
        <v>0</v>
      </c>
      <c r="D290" s="64">
        <v>1</v>
      </c>
      <c r="E290" s="50">
        <v>43531</v>
      </c>
      <c r="F290" s="45">
        <v>27600</v>
      </c>
      <c r="G290">
        <v>27600</v>
      </c>
      <c r="H290">
        <v>27600</v>
      </c>
      <c r="I290">
        <v>44</v>
      </c>
      <c r="J290">
        <v>71</v>
      </c>
      <c r="K290" s="36">
        <v>0.5708333333333333</v>
      </c>
      <c r="L290">
        <v>71</v>
      </c>
      <c r="M290">
        <v>17</v>
      </c>
      <c r="N290" s="43">
        <f t="shared" si="48"/>
        <v>27</v>
      </c>
      <c r="O290" s="77">
        <f>ImpliedCallVolatility(F290,G290,((D290)/365),B290,I290,C290)</f>
        <v>6.961822509765625E-2</v>
      </c>
      <c r="P290" s="77">
        <f>ImpliedPutVolatility(F290,H290,((D290)/365),B290,J290,C290)</f>
        <v>0.12966156005859375</v>
      </c>
      <c r="Q290" t="str">
        <f t="shared" si="53"/>
        <v>Buy</v>
      </c>
      <c r="AB290">
        <v>27600</v>
      </c>
      <c r="AC290">
        <v>27770</v>
      </c>
      <c r="AE290">
        <f t="shared" si="58"/>
        <v>170</v>
      </c>
      <c r="AF290">
        <f t="shared" si="57"/>
        <v>8343</v>
      </c>
      <c r="AI290">
        <f t="shared" si="49"/>
        <v>54000</v>
      </c>
      <c r="AJ290">
        <f t="shared" si="50"/>
        <v>34000</v>
      </c>
      <c r="AL290">
        <f t="shared" si="51"/>
        <v>88000</v>
      </c>
      <c r="AM290">
        <f t="shared" si="52"/>
        <v>7494400</v>
      </c>
    </row>
    <row r="291" spans="1:39">
      <c r="B291" s="63">
        <v>0.1</v>
      </c>
      <c r="C291" s="63">
        <v>0</v>
      </c>
      <c r="D291" s="64">
        <v>7</v>
      </c>
      <c r="E291" s="34">
        <v>43532</v>
      </c>
      <c r="F291" s="45">
        <v>27755</v>
      </c>
      <c r="G291">
        <v>27700</v>
      </c>
      <c r="H291">
        <v>27700</v>
      </c>
      <c r="I291">
        <v>170</v>
      </c>
      <c r="J291">
        <v>194</v>
      </c>
      <c r="K291" s="36">
        <v>0.63541666666666663</v>
      </c>
      <c r="L291">
        <v>228</v>
      </c>
      <c r="M291">
        <v>127</v>
      </c>
      <c r="N291" s="43">
        <f t="shared" si="48"/>
        <v>9</v>
      </c>
      <c r="O291" s="77">
        <f>ImpliedCallVolatility(F291,G291,((D291)/365),B291,I291,C291)</f>
        <v>7.022857666015625E-2</v>
      </c>
      <c r="P291" s="77">
        <f>ImpliedPutVolatility(F291,H291,((D291)/365),B291,J291,C291)</f>
        <v>0.15956878662109375</v>
      </c>
      <c r="Q291" t="str">
        <f t="shared" si="53"/>
        <v>Buy</v>
      </c>
      <c r="AB291">
        <v>27699</v>
      </c>
      <c r="AC291">
        <v>27729</v>
      </c>
      <c r="AE291">
        <f t="shared" si="58"/>
        <v>30</v>
      </c>
      <c r="AF291">
        <f t="shared" si="57"/>
        <v>8373</v>
      </c>
      <c r="AI291">
        <f t="shared" si="49"/>
        <v>18000</v>
      </c>
      <c r="AJ291">
        <f t="shared" si="50"/>
        <v>6000</v>
      </c>
      <c r="AL291">
        <f t="shared" si="51"/>
        <v>24000</v>
      </c>
      <c r="AM291">
        <f t="shared" si="52"/>
        <v>7518400</v>
      </c>
    </row>
    <row r="292" spans="1:39">
      <c r="B292" s="63">
        <v>0.1</v>
      </c>
      <c r="C292" s="63">
        <v>0</v>
      </c>
      <c r="D292" s="64">
        <v>4</v>
      </c>
      <c r="E292" s="37">
        <v>43535</v>
      </c>
      <c r="F292" s="45">
        <v>27940</v>
      </c>
      <c r="G292">
        <v>28000</v>
      </c>
      <c r="H292">
        <v>27900</v>
      </c>
      <c r="I292">
        <v>130</v>
      </c>
      <c r="J292">
        <v>124</v>
      </c>
      <c r="K292" s="36">
        <v>0.63541666666666663</v>
      </c>
      <c r="L292">
        <v>148</v>
      </c>
      <c r="M292">
        <v>96</v>
      </c>
      <c r="N292" s="43">
        <f t="shared" si="48"/>
        <v>10</v>
      </c>
      <c r="O292" s="77">
        <f>ImpliedCallVolatility(F292,G292,((D292)/365),B292,I292,C292)</f>
        <v>0.12348175048828125</v>
      </c>
      <c r="P292" s="77">
        <f>ImpliedPutVolatility(F292,H292,((D292)/365),B292,J292,C292)</f>
        <v>0.13454437255859375</v>
      </c>
      <c r="Q292" t="str">
        <f t="shared" si="53"/>
        <v>Buy</v>
      </c>
      <c r="AB292">
        <v>27940</v>
      </c>
      <c r="AC292">
        <v>28014</v>
      </c>
      <c r="AE292">
        <f t="shared" si="58"/>
        <v>74</v>
      </c>
      <c r="AF292">
        <f t="shared" si="57"/>
        <v>8447</v>
      </c>
      <c r="AI292">
        <f t="shared" si="49"/>
        <v>20000</v>
      </c>
      <c r="AJ292">
        <f t="shared" si="50"/>
        <v>14800</v>
      </c>
      <c r="AL292">
        <f t="shared" si="51"/>
        <v>34800</v>
      </c>
      <c r="AM292">
        <f t="shared" si="52"/>
        <v>7553200</v>
      </c>
    </row>
    <row r="293" spans="1:39">
      <c r="B293" s="63">
        <v>0.1</v>
      </c>
      <c r="C293" s="63">
        <v>0</v>
      </c>
      <c r="D293" s="64">
        <v>3</v>
      </c>
      <c r="E293" s="37">
        <v>43536</v>
      </c>
      <c r="F293" s="45">
        <v>28181</v>
      </c>
      <c r="G293">
        <v>28200</v>
      </c>
      <c r="H293">
        <v>28200</v>
      </c>
      <c r="I293">
        <v>109</v>
      </c>
      <c r="J293">
        <v>141</v>
      </c>
      <c r="K293" s="36">
        <v>0.59861111111111109</v>
      </c>
      <c r="L293">
        <v>253</v>
      </c>
      <c r="M293">
        <v>64</v>
      </c>
      <c r="N293" s="43">
        <f t="shared" si="48"/>
        <v>-67</v>
      </c>
      <c r="O293" s="77">
        <f>ImpliedCallVolatility(F293,G293,((D293)/365),B293,I293,C293)</f>
        <v>0.10486602783203125</v>
      </c>
      <c r="P293" s="77">
        <f>ImpliedPutVolatility(F293,H293,((D293)/365),B293,J293,C293)</f>
        <v>0.14041900634765625</v>
      </c>
      <c r="Q293" t="str">
        <f t="shared" si="53"/>
        <v>Buy</v>
      </c>
      <c r="AB293">
        <v>28181</v>
      </c>
      <c r="AC293">
        <v>28479</v>
      </c>
      <c r="AE293">
        <f t="shared" si="58"/>
        <v>298</v>
      </c>
      <c r="AF293">
        <f t="shared" si="57"/>
        <v>8745</v>
      </c>
      <c r="AI293">
        <f t="shared" si="49"/>
        <v>-134000</v>
      </c>
      <c r="AJ293">
        <f t="shared" si="50"/>
        <v>59600</v>
      </c>
      <c r="AL293">
        <f t="shared" si="51"/>
        <v>-74400</v>
      </c>
      <c r="AM293">
        <f t="shared" si="52"/>
        <v>7478800</v>
      </c>
    </row>
    <row r="294" spans="1:39">
      <c r="A294" t="s">
        <v>57</v>
      </c>
      <c r="B294" s="63">
        <v>0.1</v>
      </c>
      <c r="C294" s="63">
        <v>0</v>
      </c>
      <c r="D294" s="64">
        <v>2</v>
      </c>
      <c r="E294" s="37">
        <v>43537</v>
      </c>
      <c r="F294" s="45">
        <v>28427</v>
      </c>
      <c r="G294">
        <v>28400</v>
      </c>
      <c r="H294">
        <v>28400</v>
      </c>
      <c r="I294">
        <v>130</v>
      </c>
      <c r="J294">
        <v>112</v>
      </c>
      <c r="K294" s="36">
        <v>0.40902777777777777</v>
      </c>
      <c r="L294">
        <v>270</v>
      </c>
      <c r="M294">
        <v>59</v>
      </c>
      <c r="N294" s="43">
        <f t="shared" si="48"/>
        <v>-87</v>
      </c>
      <c r="O294" s="77">
        <f>ImpliedCallVolatility(F294,G294,((D294)/365),B294,I294,C294)</f>
        <v>0.12798309326171875</v>
      </c>
      <c r="P294" s="77">
        <f>ImpliedPutVolatility(F294,H294,((D294)/365),B294,J294,C294)</f>
        <v>0.15758514404296875</v>
      </c>
      <c r="Q294" t="str">
        <f t="shared" si="53"/>
        <v>Buy</v>
      </c>
      <c r="AB294">
        <v>28426</v>
      </c>
      <c r="AC294">
        <v>28887</v>
      </c>
      <c r="AE294">
        <f t="shared" si="58"/>
        <v>461</v>
      </c>
      <c r="AF294">
        <f t="shared" si="57"/>
        <v>9206</v>
      </c>
      <c r="AI294">
        <f t="shared" si="49"/>
        <v>-174000</v>
      </c>
      <c r="AJ294">
        <f t="shared" si="50"/>
        <v>92200</v>
      </c>
      <c r="AL294">
        <f t="shared" si="51"/>
        <v>-81800</v>
      </c>
      <c r="AM294">
        <f t="shared" si="52"/>
        <v>7397000</v>
      </c>
    </row>
    <row r="295" spans="1:39" ht="13.5" thickBot="1">
      <c r="A295" t="s">
        <v>58</v>
      </c>
      <c r="B295" s="63">
        <v>0.1</v>
      </c>
      <c r="C295" s="63">
        <v>0</v>
      </c>
      <c r="D295" s="64">
        <v>1</v>
      </c>
      <c r="E295" s="50">
        <v>43538</v>
      </c>
      <c r="F295" s="45">
        <v>29052</v>
      </c>
      <c r="G295">
        <v>29000</v>
      </c>
      <c r="H295">
        <v>29000</v>
      </c>
      <c r="I295">
        <v>110</v>
      </c>
      <c r="J295">
        <v>72</v>
      </c>
      <c r="K295" s="36">
        <v>0.63541666666666663</v>
      </c>
      <c r="L295">
        <v>52</v>
      </c>
      <c r="M295">
        <v>115</v>
      </c>
      <c r="N295" s="43">
        <f t="shared" si="48"/>
        <v>15</v>
      </c>
      <c r="O295" s="77">
        <f>ImpliedCallVolatility(F295,G295,((D295)/365),B295,I295,C295)</f>
        <v>0.12592315673828125</v>
      </c>
      <c r="P295" s="77">
        <f>ImpliedPutVolatility(F295,H295,((D295)/365),B295,J295,C295)</f>
        <v>0.16353607177734375</v>
      </c>
      <c r="Q295" t="str">
        <f t="shared" si="53"/>
        <v>Buy</v>
      </c>
      <c r="S295" s="39">
        <f>(I295+J295)*0.7+F295</f>
        <v>29179.4</v>
      </c>
      <c r="T295" s="39">
        <f>(I295+J295)*0.7-F295</f>
        <v>-28924.6</v>
      </c>
      <c r="Y295" s="72">
        <f>SUM(N287:N295)</f>
        <v>-52</v>
      </c>
      <c r="AB295">
        <v>29052</v>
      </c>
      <c r="AC295">
        <v>28919</v>
      </c>
      <c r="AE295">
        <f t="shared" si="58"/>
        <v>-133</v>
      </c>
      <c r="AF295">
        <f t="shared" si="57"/>
        <v>9073</v>
      </c>
      <c r="AI295">
        <f t="shared" si="49"/>
        <v>30000</v>
      </c>
      <c r="AJ295">
        <f t="shared" si="50"/>
        <v>-26600</v>
      </c>
      <c r="AL295">
        <f t="shared" si="51"/>
        <v>3400</v>
      </c>
      <c r="AM295">
        <f t="shared" si="52"/>
        <v>7400400</v>
      </c>
    </row>
    <row r="296" spans="1:39">
      <c r="A296" s="7"/>
      <c r="B296" s="63"/>
      <c r="C296" s="63"/>
      <c r="D296" s="64"/>
      <c r="E296" t="s">
        <v>88</v>
      </c>
      <c r="F296" s="45"/>
      <c r="K296" s="36"/>
      <c r="N296" s="43"/>
      <c r="O296" s="77" t="e">
        <f>ImpliedCallVolatility(F296,G296,((D296)/365),B296,I296,C296)</f>
        <v>#VALUE!</v>
      </c>
      <c r="P296" s="77" t="e">
        <f>ImpliedPutVolatility(F296,H296,((D296)/365),B296,J296,C296)</f>
        <v>#VALUE!</v>
      </c>
      <c r="Q296" s="61" t="e">
        <f t="shared" ref="Q296" si="59">ABS(P296-O296)</f>
        <v>#VALUE!</v>
      </c>
      <c r="AB296">
        <v>29241</v>
      </c>
      <c r="AC296">
        <v>29360</v>
      </c>
      <c r="AE296">
        <f t="shared" si="58"/>
        <v>119</v>
      </c>
      <c r="AF296">
        <f t="shared" si="57"/>
        <v>9192</v>
      </c>
      <c r="AI296">
        <f t="shared" si="49"/>
        <v>0</v>
      </c>
      <c r="AJ296">
        <f t="shared" si="50"/>
        <v>23800</v>
      </c>
      <c r="AL296">
        <f t="shared" si="51"/>
        <v>23800</v>
      </c>
      <c r="AM296">
        <f t="shared" si="52"/>
        <v>7424200</v>
      </c>
    </row>
    <row r="297" spans="1:39">
      <c r="D297" s="64"/>
      <c r="E297" t="s">
        <v>89</v>
      </c>
      <c r="AB297">
        <v>29757.8</v>
      </c>
      <c r="AC297">
        <v>29557.8</v>
      </c>
      <c r="AE297">
        <f t="shared" si="58"/>
        <v>-200</v>
      </c>
      <c r="AF297">
        <f t="shared" si="57"/>
        <v>8992</v>
      </c>
      <c r="AI297">
        <f t="shared" si="49"/>
        <v>0</v>
      </c>
      <c r="AJ297">
        <f t="shared" si="50"/>
        <v>-40000</v>
      </c>
      <c r="AL297">
        <f t="shared" si="51"/>
        <v>-40000</v>
      </c>
      <c r="AM297">
        <f t="shared" si="52"/>
        <v>7384200</v>
      </c>
    </row>
    <row r="298" spans="1:39">
      <c r="D298" s="64"/>
      <c r="E298" t="s">
        <v>90</v>
      </c>
      <c r="N298" s="35"/>
      <c r="AB298">
        <v>29660</v>
      </c>
      <c r="AC298">
        <v>29778</v>
      </c>
      <c r="AE298">
        <f t="shared" si="58"/>
        <v>118</v>
      </c>
      <c r="AF298">
        <f t="shared" si="57"/>
        <v>9110</v>
      </c>
      <c r="AI298">
        <f t="shared" si="49"/>
        <v>0</v>
      </c>
      <c r="AJ298">
        <f t="shared" si="50"/>
        <v>23600</v>
      </c>
      <c r="AL298">
        <f t="shared" si="51"/>
        <v>23600</v>
      </c>
      <c r="AM298">
        <f t="shared" si="52"/>
        <v>7407800</v>
      </c>
    </row>
    <row r="299" spans="1:39">
      <c r="D299" s="64"/>
      <c r="E299" t="s">
        <v>91</v>
      </c>
      <c r="O299" s="75">
        <f>SUM(N:N)</f>
        <v>2792.8999999999996</v>
      </c>
      <c r="Z299">
        <f>SUM(Y:Y)</f>
        <v>2801.8999999999996</v>
      </c>
      <c r="AB299">
        <v>29689</v>
      </c>
      <c r="AC299">
        <v>29827</v>
      </c>
      <c r="AE299">
        <f t="shared" si="58"/>
        <v>138</v>
      </c>
      <c r="AF299">
        <f t="shared" si="57"/>
        <v>9248</v>
      </c>
      <c r="AI299">
        <f t="shared" si="49"/>
        <v>0</v>
      </c>
      <c r="AJ299">
        <f t="shared" si="50"/>
        <v>27600</v>
      </c>
      <c r="AL299">
        <f t="shared" si="51"/>
        <v>27600</v>
      </c>
      <c r="AM299">
        <f t="shared" si="52"/>
        <v>7435400</v>
      </c>
    </row>
    <row r="300" spans="1:39">
      <c r="E300" t="s">
        <v>88</v>
      </c>
      <c r="AB300">
        <v>29587</v>
      </c>
      <c r="AC300">
        <v>29918</v>
      </c>
      <c r="AE300">
        <f t="shared" si="58"/>
        <v>331</v>
      </c>
      <c r="AF300">
        <f t="shared" si="57"/>
        <v>9579</v>
      </c>
      <c r="AI300">
        <f t="shared" si="49"/>
        <v>0</v>
      </c>
      <c r="AJ300">
        <f t="shared" si="50"/>
        <v>66200</v>
      </c>
      <c r="AL300">
        <f t="shared" si="51"/>
        <v>66200</v>
      </c>
      <c r="AM300">
        <f t="shared" si="52"/>
        <v>7501600</v>
      </c>
    </row>
    <row r="301" spans="1:39">
      <c r="E301" t="s">
        <v>89</v>
      </c>
      <c r="AB301">
        <v>29270</v>
      </c>
      <c r="AC301">
        <v>29272</v>
      </c>
      <c r="AE301">
        <f t="shared" si="58"/>
        <v>2</v>
      </c>
      <c r="AF301">
        <f t="shared" si="57"/>
        <v>9581</v>
      </c>
      <c r="AI301">
        <f t="shared" si="49"/>
        <v>0</v>
      </c>
      <c r="AJ301">
        <f t="shared" si="50"/>
        <v>400</v>
      </c>
      <c r="AL301">
        <f t="shared" si="51"/>
        <v>400</v>
      </c>
      <c r="AM301">
        <f t="shared" si="52"/>
        <v>7502000</v>
      </c>
    </row>
    <row r="302" spans="1:39">
      <c r="E302" t="s">
        <v>90</v>
      </c>
      <c r="AB302">
        <v>29574</v>
      </c>
      <c r="AC302">
        <v>29374</v>
      </c>
      <c r="AE302">
        <f t="shared" si="58"/>
        <v>-200</v>
      </c>
      <c r="AF302">
        <f t="shared" si="57"/>
        <v>9381</v>
      </c>
      <c r="AI302">
        <f t="shared" si="49"/>
        <v>0</v>
      </c>
      <c r="AJ302">
        <f t="shared" si="50"/>
        <v>-40000</v>
      </c>
      <c r="AL302">
        <f t="shared" si="51"/>
        <v>-40000</v>
      </c>
      <c r="AM302">
        <f t="shared" si="52"/>
        <v>7462000</v>
      </c>
    </row>
    <row r="303" spans="1:39">
      <c r="E303" t="s">
        <v>91</v>
      </c>
      <c r="AB303">
        <v>30025</v>
      </c>
      <c r="AC303">
        <v>30116</v>
      </c>
      <c r="AE303">
        <f t="shared" si="58"/>
        <v>91</v>
      </c>
      <c r="AF303">
        <f t="shared" si="57"/>
        <v>9472</v>
      </c>
      <c r="AI303">
        <f t="shared" si="49"/>
        <v>0</v>
      </c>
      <c r="AJ303">
        <f t="shared" si="50"/>
        <v>18200</v>
      </c>
      <c r="AL303">
        <f t="shared" si="51"/>
        <v>18200</v>
      </c>
      <c r="AM303">
        <f t="shared" si="52"/>
        <v>7480200</v>
      </c>
    </row>
    <row r="304" spans="1:39">
      <c r="E304" t="s">
        <v>92</v>
      </c>
      <c r="AB304">
        <v>30049</v>
      </c>
      <c r="AC304">
        <v>30420</v>
      </c>
      <c r="AE304">
        <f t="shared" si="58"/>
        <v>371</v>
      </c>
      <c r="AF304">
        <f t="shared" si="57"/>
        <v>9843</v>
      </c>
      <c r="AI304">
        <f t="shared" si="49"/>
        <v>0</v>
      </c>
      <c r="AJ304">
        <f t="shared" si="50"/>
        <v>74200</v>
      </c>
      <c r="AL304">
        <f t="shared" si="51"/>
        <v>74200</v>
      </c>
      <c r="AM304">
        <f t="shared" si="52"/>
        <v>7554400</v>
      </c>
    </row>
    <row r="305" spans="1:40">
      <c r="A305" t="s">
        <v>101</v>
      </c>
      <c r="D305" s="62" t="s">
        <v>59</v>
      </c>
      <c r="E305" t="s">
        <v>88</v>
      </c>
      <c r="F305" t="s">
        <v>96</v>
      </c>
      <c r="G305" t="s">
        <v>97</v>
      </c>
      <c r="H305" t="s">
        <v>98</v>
      </c>
      <c r="I305" t="s">
        <v>99</v>
      </c>
      <c r="J305" t="s">
        <v>100</v>
      </c>
      <c r="O305" s="75" t="s">
        <v>94</v>
      </c>
      <c r="P305" s="75" t="s">
        <v>95</v>
      </c>
      <c r="AB305">
        <v>30409</v>
      </c>
      <c r="AC305">
        <v>30461</v>
      </c>
      <c r="AE305">
        <f t="shared" si="58"/>
        <v>52</v>
      </c>
      <c r="AF305">
        <f t="shared" si="57"/>
        <v>9895</v>
      </c>
      <c r="AG305">
        <f>SUM(AE287:AE305)</f>
        <v>2180</v>
      </c>
      <c r="AI305">
        <f t="shared" si="49"/>
        <v>0</v>
      </c>
      <c r="AJ305">
        <f t="shared" si="50"/>
        <v>10400</v>
      </c>
      <c r="AL305">
        <f t="shared" si="51"/>
        <v>10400</v>
      </c>
      <c r="AM305">
        <f t="shared" si="52"/>
        <v>7564800</v>
      </c>
      <c r="AN305">
        <f>AM305-AM286</f>
        <v>332000</v>
      </c>
    </row>
    <row r="307" spans="1:40">
      <c r="A307" t="s">
        <v>93</v>
      </c>
      <c r="B307" s="63">
        <v>0.1</v>
      </c>
      <c r="C307" s="63">
        <v>0</v>
      </c>
      <c r="D307" s="64">
        <v>2</v>
      </c>
      <c r="F307">
        <v>31122.3</v>
      </c>
      <c r="G307">
        <v>31100</v>
      </c>
      <c r="H307">
        <v>31100</v>
      </c>
      <c r="I307">
        <v>156.19999999999999</v>
      </c>
      <c r="J307">
        <v>135.35</v>
      </c>
      <c r="O307" s="77">
        <f>ImpliedCallVolatility(F307,G307,((D307)/365),B307,I307,C307)</f>
        <v>0.14766693115234375</v>
      </c>
      <c r="P307" s="77">
        <f>ImpliedPutVolatility(F307,H307,((D307)/365),B307,J307,C307)</f>
        <v>0.16788482666015625</v>
      </c>
      <c r="Q307" t="str">
        <f t="shared" ref="Q307" si="60">IF(P307&gt;O307,"Buy","Sell")</f>
        <v>Buy</v>
      </c>
    </row>
    <row r="308" spans="1:40">
      <c r="B308" s="63"/>
      <c r="C308" s="63"/>
      <c r="D308" s="64"/>
      <c r="O308" s="77"/>
      <c r="P308" s="77"/>
    </row>
    <row r="309" spans="1:40">
      <c r="B309" s="63"/>
      <c r="C309" s="63"/>
      <c r="D309" s="64"/>
      <c r="O309" s="77"/>
      <c r="P309" s="77"/>
    </row>
    <row r="310" spans="1:40">
      <c r="B310" s="63"/>
      <c r="C310" s="63"/>
      <c r="D310" s="64"/>
      <c r="O310" s="77"/>
      <c r="P310" s="77"/>
    </row>
    <row r="311" spans="1:40">
      <c r="B311" s="63"/>
      <c r="C311" s="63"/>
      <c r="D311" s="64"/>
      <c r="O311" s="77"/>
      <c r="P311" s="77"/>
    </row>
    <row r="312" spans="1:40">
      <c r="B312" s="63"/>
      <c r="C312" s="63"/>
      <c r="D312" s="64"/>
      <c r="O312" s="77"/>
      <c r="P312" s="77"/>
    </row>
    <row r="313" spans="1:40">
      <c r="B313" s="63"/>
      <c r="C313" s="63"/>
      <c r="D313" s="64"/>
      <c r="O313" s="77"/>
      <c r="P313" s="77"/>
    </row>
    <row r="314" spans="1:40">
      <c r="B314" s="63"/>
      <c r="C314" s="63"/>
      <c r="D314" s="64"/>
      <c r="O314" s="77"/>
      <c r="P314" s="77"/>
    </row>
  </sheetData>
  <mergeCells count="1">
    <mergeCell ref="F1:N1"/>
  </mergeCells>
  <conditionalFormatting sqref="Q1:Q1048576">
    <cfRule type="expression" dxfId="1" priority="2" stopIfTrue="1">
      <formula>$Q:$Q="Buy"</formula>
    </cfRule>
  </conditionalFormatting>
  <conditionalFormatting sqref="Q3">
    <cfRule type="expression" dxfId="0" priority="1">
      <formula>$Q:$Q="Buy"</formula>
    </cfRule>
  </conditionalFormatting>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sheetPr codeName="Sheet2"/>
  <dimension ref="A2:O117"/>
  <sheetViews>
    <sheetView tabSelected="1" topLeftCell="A108" workbookViewId="0">
      <selection activeCell="E118" sqref="E118"/>
    </sheetView>
  </sheetViews>
  <sheetFormatPr defaultRowHeight="12.75"/>
  <cols>
    <col min="5" max="5" width="25.28515625" bestFit="1" customWidth="1"/>
  </cols>
  <sheetData>
    <row r="2" spans="1:15" ht="13.5" thickBot="1">
      <c r="D2" t="s">
        <v>81</v>
      </c>
      <c r="G2" t="s">
        <v>82</v>
      </c>
      <c r="I2" t="s">
        <v>80</v>
      </c>
      <c r="J2" t="s">
        <v>84</v>
      </c>
    </row>
    <row r="3" spans="1:15">
      <c r="A3" s="34">
        <v>43525</v>
      </c>
      <c r="C3">
        <v>26</v>
      </c>
      <c r="D3">
        <f>C3*200</f>
        <v>5200</v>
      </c>
      <c r="F3">
        <v>24.1</v>
      </c>
      <c r="G3">
        <f>F3*2000</f>
        <v>48200</v>
      </c>
      <c r="I3">
        <f>D3+G3</f>
        <v>53400</v>
      </c>
      <c r="J3">
        <f>I3</f>
        <v>53400</v>
      </c>
    </row>
    <row r="4" spans="1:15">
      <c r="A4" s="37">
        <v>43529</v>
      </c>
      <c r="C4">
        <v>500</v>
      </c>
      <c r="D4">
        <f t="shared" ref="D4:D21" si="0">C4*200</f>
        <v>100000</v>
      </c>
      <c r="F4">
        <v>-17.500000000000007</v>
      </c>
      <c r="G4">
        <f t="shared" ref="G4:G21" si="1">F4*2000</f>
        <v>-35000.000000000015</v>
      </c>
      <c r="I4">
        <f t="shared" ref="I4:I21" si="2">D4+G4</f>
        <v>64999.999999999985</v>
      </c>
      <c r="J4">
        <f>I4+J3</f>
        <v>118399.99999999999</v>
      </c>
    </row>
    <row r="5" spans="1:15">
      <c r="A5" s="37">
        <v>43530</v>
      </c>
      <c r="C5">
        <v>-68</v>
      </c>
      <c r="D5">
        <f t="shared" si="0"/>
        <v>-13600</v>
      </c>
      <c r="F5">
        <v>31.799999999999997</v>
      </c>
      <c r="G5">
        <f t="shared" si="1"/>
        <v>63599.999999999993</v>
      </c>
      <c r="I5">
        <f t="shared" si="2"/>
        <v>49999.999999999993</v>
      </c>
      <c r="J5">
        <f t="shared" ref="J5:J21" si="3">I5+J4</f>
        <v>168399.99999999997</v>
      </c>
    </row>
    <row r="6" spans="1:15" ht="13.5" thickBot="1">
      <c r="A6" s="50">
        <v>43531</v>
      </c>
      <c r="C6">
        <v>170</v>
      </c>
      <c r="D6">
        <f t="shared" si="0"/>
        <v>34000</v>
      </c>
      <c r="F6">
        <v>7.8900000000000006</v>
      </c>
      <c r="G6">
        <f t="shared" si="1"/>
        <v>15780.000000000002</v>
      </c>
      <c r="I6">
        <f t="shared" si="2"/>
        <v>49780</v>
      </c>
      <c r="J6">
        <f t="shared" si="3"/>
        <v>218179.99999999997</v>
      </c>
    </row>
    <row r="7" spans="1:15">
      <c r="A7" s="34">
        <v>43532</v>
      </c>
      <c r="C7">
        <v>30</v>
      </c>
      <c r="D7">
        <f t="shared" si="0"/>
        <v>6000</v>
      </c>
      <c r="F7">
        <v>-11.350000000000009</v>
      </c>
      <c r="G7">
        <f t="shared" si="1"/>
        <v>-22700.000000000018</v>
      </c>
      <c r="I7">
        <f t="shared" si="2"/>
        <v>-16700.000000000018</v>
      </c>
      <c r="J7">
        <f t="shared" si="3"/>
        <v>201479.99999999994</v>
      </c>
    </row>
    <row r="8" spans="1:15">
      <c r="A8" s="37">
        <v>43535</v>
      </c>
      <c r="C8">
        <v>74</v>
      </c>
      <c r="D8">
        <f t="shared" si="0"/>
        <v>14800</v>
      </c>
      <c r="F8">
        <v>6.75</v>
      </c>
      <c r="G8">
        <f t="shared" si="1"/>
        <v>13500</v>
      </c>
      <c r="I8">
        <f t="shared" si="2"/>
        <v>28300</v>
      </c>
      <c r="J8">
        <f t="shared" si="3"/>
        <v>229779.99999999994</v>
      </c>
    </row>
    <row r="9" spans="1:15">
      <c r="A9" s="37">
        <v>43536</v>
      </c>
      <c r="C9">
        <v>298</v>
      </c>
      <c r="D9">
        <f t="shared" si="0"/>
        <v>59600</v>
      </c>
      <c r="F9">
        <v>-44.769999999999996</v>
      </c>
      <c r="G9">
        <f t="shared" si="1"/>
        <v>-89539.999999999985</v>
      </c>
      <c r="I9">
        <f t="shared" si="2"/>
        <v>-29939.999999999985</v>
      </c>
      <c r="J9">
        <f t="shared" si="3"/>
        <v>199839.99999999994</v>
      </c>
    </row>
    <row r="10" spans="1:15">
      <c r="A10" s="37">
        <v>43537</v>
      </c>
      <c r="C10">
        <v>461</v>
      </c>
      <c r="D10">
        <f t="shared" si="0"/>
        <v>92200</v>
      </c>
      <c r="F10">
        <v>-40.21</v>
      </c>
      <c r="G10">
        <f t="shared" si="1"/>
        <v>-80420</v>
      </c>
      <c r="I10">
        <f t="shared" si="2"/>
        <v>11780</v>
      </c>
      <c r="J10">
        <f t="shared" si="3"/>
        <v>211619.99999999994</v>
      </c>
    </row>
    <row r="11" spans="1:15" ht="13.5" thickBot="1">
      <c r="A11" s="50">
        <v>43538</v>
      </c>
      <c r="C11">
        <v>-133</v>
      </c>
      <c r="D11">
        <f t="shared" si="0"/>
        <v>-26600</v>
      </c>
      <c r="F11">
        <v>67.75</v>
      </c>
      <c r="G11">
        <f t="shared" si="1"/>
        <v>135500</v>
      </c>
      <c r="I11">
        <f t="shared" si="2"/>
        <v>108900</v>
      </c>
      <c r="J11">
        <f t="shared" si="3"/>
        <v>320519.99999999994</v>
      </c>
    </row>
    <row r="12" spans="1:15">
      <c r="A12" s="74">
        <v>43539</v>
      </c>
      <c r="C12">
        <v>119</v>
      </c>
      <c r="D12">
        <f t="shared" si="0"/>
        <v>23800</v>
      </c>
      <c r="F12">
        <v>-65.799999999999969</v>
      </c>
      <c r="G12">
        <f t="shared" si="1"/>
        <v>-131599.99999999994</v>
      </c>
      <c r="I12">
        <f t="shared" si="2"/>
        <v>-107799.99999999994</v>
      </c>
      <c r="J12">
        <f t="shared" si="3"/>
        <v>212720</v>
      </c>
    </row>
    <row r="13" spans="1:15">
      <c r="A13" s="74">
        <v>43542</v>
      </c>
      <c r="C13">
        <v>-200</v>
      </c>
      <c r="D13">
        <f t="shared" si="0"/>
        <v>-40000</v>
      </c>
      <c r="F13">
        <v>-17.95</v>
      </c>
      <c r="G13">
        <f t="shared" si="1"/>
        <v>-35900</v>
      </c>
      <c r="I13">
        <f t="shared" si="2"/>
        <v>-75900</v>
      </c>
      <c r="J13">
        <f t="shared" si="3"/>
        <v>136820</v>
      </c>
    </row>
    <row r="14" spans="1:15">
      <c r="A14" s="74">
        <v>43543</v>
      </c>
      <c r="C14">
        <v>118</v>
      </c>
      <c r="D14">
        <f t="shared" si="0"/>
        <v>23600</v>
      </c>
      <c r="F14">
        <v>88.850000000000023</v>
      </c>
      <c r="G14">
        <f t="shared" si="1"/>
        <v>177700.00000000006</v>
      </c>
      <c r="I14">
        <f t="shared" si="2"/>
        <v>201300.00000000006</v>
      </c>
      <c r="J14">
        <f t="shared" si="3"/>
        <v>338120.00000000006</v>
      </c>
      <c r="M14" t="s">
        <v>83</v>
      </c>
      <c r="N14" t="s">
        <v>78</v>
      </c>
      <c r="O14" t="s">
        <v>79</v>
      </c>
    </row>
    <row r="15" spans="1:15">
      <c r="A15" s="74">
        <v>43544</v>
      </c>
      <c r="C15">
        <v>138</v>
      </c>
      <c r="D15">
        <f t="shared" si="0"/>
        <v>27600</v>
      </c>
      <c r="F15">
        <v>2.5</v>
      </c>
      <c r="G15">
        <f t="shared" si="1"/>
        <v>5000</v>
      </c>
      <c r="I15">
        <f t="shared" si="2"/>
        <v>32600</v>
      </c>
      <c r="J15">
        <f t="shared" si="3"/>
        <v>370720.00000000006</v>
      </c>
    </row>
    <row r="16" spans="1:15">
      <c r="A16" s="74">
        <v>43546</v>
      </c>
      <c r="C16">
        <v>331</v>
      </c>
      <c r="D16">
        <f t="shared" si="0"/>
        <v>66200</v>
      </c>
      <c r="F16">
        <v>-10.849999999999994</v>
      </c>
      <c r="G16">
        <f t="shared" si="1"/>
        <v>-21699.999999999989</v>
      </c>
      <c r="I16">
        <f t="shared" si="2"/>
        <v>44500.000000000015</v>
      </c>
      <c r="J16">
        <f t="shared" si="3"/>
        <v>415220.00000000006</v>
      </c>
      <c r="L16" t="s">
        <v>80</v>
      </c>
      <c r="M16">
        <f>AVERAGE(I3:I21)</f>
        <v>22547.368421052633</v>
      </c>
      <c r="N16">
        <f>STDEV(I3:I21)</f>
        <v>75069.26911134996</v>
      </c>
      <c r="O16">
        <f>M16/N16</f>
        <v>0.3003541753897751</v>
      </c>
    </row>
    <row r="17" spans="1:15">
      <c r="A17" s="74">
        <v>43549</v>
      </c>
      <c r="C17">
        <v>2</v>
      </c>
      <c r="D17">
        <f t="shared" si="0"/>
        <v>400</v>
      </c>
      <c r="F17">
        <v>25.800000000000011</v>
      </c>
      <c r="G17">
        <f t="shared" si="1"/>
        <v>51600.000000000022</v>
      </c>
      <c r="I17">
        <f t="shared" si="2"/>
        <v>52000.000000000022</v>
      </c>
      <c r="J17">
        <f t="shared" si="3"/>
        <v>467220.00000000006</v>
      </c>
      <c r="L17" t="s">
        <v>85</v>
      </c>
      <c r="M17">
        <f>AVERAGE(D3:D21)</f>
        <v>22947.36842105263</v>
      </c>
      <c r="N17">
        <f>STDEV(D3:D21)</f>
        <v>40682.611196937316</v>
      </c>
      <c r="O17">
        <f t="shared" ref="O17:O18" si="4">M17/N17</f>
        <v>0.5640583961036445</v>
      </c>
    </row>
    <row r="18" spans="1:15">
      <c r="A18" s="74">
        <v>43550</v>
      </c>
      <c r="C18">
        <v>-200</v>
      </c>
      <c r="D18">
        <f t="shared" si="0"/>
        <v>-40000</v>
      </c>
      <c r="F18">
        <v>-32.1</v>
      </c>
      <c r="G18">
        <f t="shared" si="1"/>
        <v>-64200</v>
      </c>
      <c r="I18">
        <f t="shared" si="2"/>
        <v>-104200</v>
      </c>
      <c r="J18">
        <f t="shared" si="3"/>
        <v>363020.00000000006</v>
      </c>
      <c r="L18" t="s">
        <v>86</v>
      </c>
      <c r="M18">
        <f>AVERAGE(G3:G21)</f>
        <v>-399.99999999999386</v>
      </c>
      <c r="N18">
        <f>STDEV(G3:G21)</f>
        <v>77560.553261449997</v>
      </c>
      <c r="O18">
        <f t="shared" si="4"/>
        <v>-5.1572607876020178E-3</v>
      </c>
    </row>
    <row r="19" spans="1:15">
      <c r="A19" s="74">
        <v>43551</v>
      </c>
      <c r="C19">
        <v>91</v>
      </c>
      <c r="D19">
        <f t="shared" si="0"/>
        <v>18200</v>
      </c>
      <c r="F19">
        <v>-36.880000000000003</v>
      </c>
      <c r="G19">
        <f t="shared" si="1"/>
        <v>-73760</v>
      </c>
      <c r="I19">
        <f t="shared" si="2"/>
        <v>-55560</v>
      </c>
      <c r="J19">
        <f t="shared" si="3"/>
        <v>307460.00000000006</v>
      </c>
    </row>
    <row r="20" spans="1:15">
      <c r="A20" s="74">
        <v>43552</v>
      </c>
      <c r="C20">
        <v>371</v>
      </c>
      <c r="D20">
        <f t="shared" si="0"/>
        <v>74200</v>
      </c>
      <c r="F20">
        <v>-11.33</v>
      </c>
      <c r="G20">
        <f t="shared" si="1"/>
        <v>-22660</v>
      </c>
      <c r="I20">
        <f t="shared" si="2"/>
        <v>51540</v>
      </c>
      <c r="J20">
        <f t="shared" si="3"/>
        <v>359000.00000000006</v>
      </c>
    </row>
    <row r="21" spans="1:15">
      <c r="A21" s="74">
        <v>43553</v>
      </c>
      <c r="C21">
        <v>52</v>
      </c>
      <c r="D21">
        <f t="shared" si="0"/>
        <v>10400</v>
      </c>
      <c r="F21">
        <v>29.5</v>
      </c>
      <c r="G21">
        <f t="shared" si="1"/>
        <v>59000</v>
      </c>
      <c r="I21">
        <f t="shared" si="2"/>
        <v>69400</v>
      </c>
      <c r="J21">
        <f t="shared" si="3"/>
        <v>428400.00000000006</v>
      </c>
    </row>
    <row r="22" spans="1:15">
      <c r="A22" s="74"/>
    </row>
    <row r="25" spans="1:15">
      <c r="A25" s="74">
        <v>43413</v>
      </c>
      <c r="C25">
        <v>-185</v>
      </c>
      <c r="D25">
        <f>C25*200</f>
        <v>-37000</v>
      </c>
      <c r="F25">
        <v>20.900000000000006</v>
      </c>
      <c r="G25">
        <f>F25*2000</f>
        <v>41800.000000000015</v>
      </c>
      <c r="I25">
        <f t="shared" ref="I25:I39" si="5">D25+G25</f>
        <v>4800.0000000000146</v>
      </c>
      <c r="J25">
        <f>4800</f>
        <v>4800</v>
      </c>
      <c r="M25" t="s">
        <v>83</v>
      </c>
      <c r="N25" t="s">
        <v>78</v>
      </c>
      <c r="O25" t="s">
        <v>79</v>
      </c>
    </row>
    <row r="26" spans="1:15">
      <c r="A26" s="74">
        <v>43416</v>
      </c>
      <c r="C26">
        <v>274</v>
      </c>
      <c r="D26">
        <f t="shared" ref="D26:D39" si="6">C26*200</f>
        <v>54800</v>
      </c>
      <c r="F26">
        <v>-18.34999999999998</v>
      </c>
      <c r="G26">
        <f t="shared" ref="G26:G39" si="7">F26*2000</f>
        <v>-36699.999999999964</v>
      </c>
      <c r="I26">
        <f t="shared" si="5"/>
        <v>18100.000000000036</v>
      </c>
      <c r="J26">
        <f>I26+J25</f>
        <v>22900.000000000036</v>
      </c>
    </row>
    <row r="27" spans="1:15">
      <c r="A27" s="74">
        <v>43417</v>
      </c>
      <c r="C27">
        <v>-133</v>
      </c>
      <c r="D27">
        <f t="shared" si="6"/>
        <v>-26600</v>
      </c>
      <c r="F27">
        <v>3.9999999999999929</v>
      </c>
      <c r="G27">
        <f t="shared" si="7"/>
        <v>7999.9999999999854</v>
      </c>
      <c r="I27">
        <f t="shared" si="5"/>
        <v>-18600.000000000015</v>
      </c>
      <c r="J27">
        <f t="shared" ref="J27:J39" si="8">I27+J26</f>
        <v>4300.0000000000218</v>
      </c>
      <c r="L27" t="s">
        <v>80</v>
      </c>
      <c r="M27">
        <f>AVERAGE(I25:I39)</f>
        <v>32706.666666666668</v>
      </c>
      <c r="N27">
        <f>STDEV(I25:I39)</f>
        <v>55042.418274670752</v>
      </c>
      <c r="O27">
        <f>M27/N27</f>
        <v>0.59420838858232938</v>
      </c>
    </row>
    <row r="28" spans="1:15">
      <c r="A28" s="74">
        <v>43418</v>
      </c>
      <c r="C28">
        <v>247</v>
      </c>
      <c r="D28">
        <f t="shared" si="6"/>
        <v>49400</v>
      </c>
      <c r="F28">
        <v>41.749999999999993</v>
      </c>
      <c r="G28">
        <f t="shared" si="7"/>
        <v>83499.999999999985</v>
      </c>
      <c r="I28">
        <f t="shared" si="5"/>
        <v>132900</v>
      </c>
      <c r="J28">
        <f t="shared" si="8"/>
        <v>137200.00000000003</v>
      </c>
      <c r="L28" t="s">
        <v>85</v>
      </c>
      <c r="M28">
        <f>AVERAGE(D25:D39)</f>
        <v>7626.666666666667</v>
      </c>
      <c r="N28">
        <f>STDEV(D25:D39)</f>
        <v>34140.873423145436</v>
      </c>
      <c r="O28">
        <f t="shared" ref="O28:O29" si="9">M28/N28</f>
        <v>0.22338815331819398</v>
      </c>
    </row>
    <row r="29" spans="1:15">
      <c r="A29" s="74">
        <v>43419</v>
      </c>
      <c r="C29">
        <v>-11</v>
      </c>
      <c r="D29">
        <f t="shared" si="6"/>
        <v>-2200</v>
      </c>
      <c r="F29">
        <v>11.399999999999991</v>
      </c>
      <c r="G29">
        <f t="shared" si="7"/>
        <v>22799.999999999982</v>
      </c>
      <c r="I29">
        <f t="shared" si="5"/>
        <v>20599.999999999982</v>
      </c>
      <c r="J29">
        <f t="shared" si="8"/>
        <v>157800</v>
      </c>
      <c r="L29" t="s">
        <v>86</v>
      </c>
      <c r="M29">
        <f>AVERAGE(G25:G39)</f>
        <v>25079.999999999996</v>
      </c>
      <c r="N29">
        <f>STDEV(G25:G39)</f>
        <v>37116.51923335484</v>
      </c>
      <c r="O29">
        <f t="shared" si="9"/>
        <v>0.67570991348406939</v>
      </c>
    </row>
    <row r="30" spans="1:15">
      <c r="A30" s="74">
        <v>43420</v>
      </c>
      <c r="C30">
        <v>-18</v>
      </c>
      <c r="D30">
        <f t="shared" si="6"/>
        <v>-3600</v>
      </c>
      <c r="F30">
        <v>0.74999999999998579</v>
      </c>
      <c r="G30">
        <f t="shared" si="7"/>
        <v>1499.9999999999716</v>
      </c>
      <c r="I30">
        <f t="shared" si="5"/>
        <v>-2100.0000000000282</v>
      </c>
      <c r="J30">
        <f t="shared" si="8"/>
        <v>155699.99999999997</v>
      </c>
    </row>
    <row r="31" spans="1:15">
      <c r="A31" s="74">
        <v>43423</v>
      </c>
      <c r="C31">
        <v>-112</v>
      </c>
      <c r="D31">
        <f t="shared" si="6"/>
        <v>-22400</v>
      </c>
      <c r="F31">
        <v>5.0500000000000114</v>
      </c>
      <c r="G31">
        <f t="shared" si="7"/>
        <v>10100.000000000022</v>
      </c>
      <c r="I31">
        <f t="shared" si="5"/>
        <v>-12299.999999999978</v>
      </c>
      <c r="J31">
        <f t="shared" si="8"/>
        <v>143400</v>
      </c>
    </row>
    <row r="32" spans="1:15">
      <c r="A32" s="74">
        <v>43424</v>
      </c>
      <c r="C32">
        <v>132</v>
      </c>
      <c r="D32">
        <f t="shared" si="6"/>
        <v>26400</v>
      </c>
      <c r="F32">
        <v>57.749999999999986</v>
      </c>
      <c r="G32">
        <f t="shared" si="7"/>
        <v>115499.99999999997</v>
      </c>
      <c r="I32">
        <f t="shared" si="5"/>
        <v>141899.99999999997</v>
      </c>
      <c r="J32">
        <f t="shared" si="8"/>
        <v>285300</v>
      </c>
    </row>
    <row r="33" spans="1:10">
      <c r="A33" s="74">
        <v>43425</v>
      </c>
      <c r="C33">
        <v>168</v>
      </c>
      <c r="D33">
        <f t="shared" si="6"/>
        <v>33600</v>
      </c>
      <c r="F33">
        <v>-5.1999999999999957</v>
      </c>
      <c r="G33">
        <f t="shared" si="7"/>
        <v>-10399.999999999991</v>
      </c>
      <c r="I33">
        <f t="shared" si="5"/>
        <v>23200.000000000007</v>
      </c>
      <c r="J33">
        <f t="shared" si="8"/>
        <v>308500</v>
      </c>
    </row>
    <row r="34" spans="1:10">
      <c r="A34" s="74">
        <v>43426</v>
      </c>
      <c r="C34">
        <v>-83</v>
      </c>
      <c r="D34">
        <f t="shared" si="6"/>
        <v>-16600</v>
      </c>
      <c r="F34">
        <v>5.8499999999999943</v>
      </c>
      <c r="G34">
        <f t="shared" si="7"/>
        <v>11699.999999999989</v>
      </c>
      <c r="I34">
        <f t="shared" si="5"/>
        <v>-4900.0000000000109</v>
      </c>
      <c r="J34">
        <f t="shared" si="8"/>
        <v>303600</v>
      </c>
    </row>
    <row r="35" spans="1:10">
      <c r="A35" s="74">
        <v>43430</v>
      </c>
      <c r="C35">
        <v>142</v>
      </c>
      <c r="D35">
        <f t="shared" si="6"/>
        <v>28400</v>
      </c>
      <c r="F35">
        <v>13.199999999999989</v>
      </c>
      <c r="G35">
        <f t="shared" si="7"/>
        <v>26399.999999999978</v>
      </c>
      <c r="I35">
        <f t="shared" si="5"/>
        <v>54799.999999999978</v>
      </c>
      <c r="J35">
        <f t="shared" si="8"/>
        <v>358400</v>
      </c>
    </row>
    <row r="36" spans="1:10">
      <c r="A36" s="74">
        <v>43431</v>
      </c>
      <c r="C36">
        <v>-49</v>
      </c>
      <c r="D36">
        <f t="shared" si="6"/>
        <v>-9800</v>
      </c>
      <c r="F36">
        <v>16.449999999999996</v>
      </c>
      <c r="G36">
        <f t="shared" si="7"/>
        <v>32899.999999999993</v>
      </c>
      <c r="I36">
        <f t="shared" si="5"/>
        <v>23099.999999999993</v>
      </c>
      <c r="J36">
        <f t="shared" si="8"/>
        <v>381500</v>
      </c>
    </row>
    <row r="37" spans="1:10">
      <c r="A37" s="74">
        <v>43432</v>
      </c>
      <c r="C37">
        <v>365</v>
      </c>
      <c r="D37">
        <f t="shared" si="6"/>
        <v>73000</v>
      </c>
      <c r="F37">
        <v>23.499999999999996</v>
      </c>
      <c r="G37">
        <f t="shared" si="7"/>
        <v>46999.999999999993</v>
      </c>
      <c r="I37">
        <f t="shared" si="5"/>
        <v>120000</v>
      </c>
      <c r="J37">
        <f t="shared" si="8"/>
        <v>501500</v>
      </c>
    </row>
    <row r="38" spans="1:10">
      <c r="A38" s="74">
        <v>43433</v>
      </c>
      <c r="C38">
        <v>-141</v>
      </c>
      <c r="D38">
        <f t="shared" si="6"/>
        <v>-28200</v>
      </c>
      <c r="F38">
        <v>1.2000000000000028</v>
      </c>
      <c r="G38">
        <f t="shared" si="7"/>
        <v>2400.0000000000055</v>
      </c>
      <c r="I38">
        <f t="shared" si="5"/>
        <v>-25799.999999999993</v>
      </c>
      <c r="J38">
        <f t="shared" si="8"/>
        <v>475700</v>
      </c>
    </row>
    <row r="39" spans="1:10">
      <c r="A39" s="74">
        <v>43434</v>
      </c>
      <c r="C39">
        <v>-24</v>
      </c>
      <c r="D39">
        <f t="shared" si="6"/>
        <v>-4800</v>
      </c>
      <c r="F39">
        <v>9.8500000000000085</v>
      </c>
      <c r="G39">
        <f t="shared" si="7"/>
        <v>19700.000000000018</v>
      </c>
      <c r="I39">
        <f t="shared" si="5"/>
        <v>14900.000000000018</v>
      </c>
      <c r="J39">
        <f t="shared" si="8"/>
        <v>490600</v>
      </c>
    </row>
    <row r="43" spans="1:10">
      <c r="A43" s="74">
        <v>43437</v>
      </c>
      <c r="C43">
        <v>-29</v>
      </c>
      <c r="D43">
        <f>C43*200</f>
        <v>-5800</v>
      </c>
      <c r="F43">
        <v>21.149999999999991</v>
      </c>
      <c r="G43">
        <f>F43*2000</f>
        <v>42299.999999999985</v>
      </c>
      <c r="I43">
        <f t="shared" ref="I43:I62" si="10">D43+G43</f>
        <v>36499.999999999985</v>
      </c>
      <c r="J43">
        <f t="shared" ref="J43:J62" si="11">I43+J42</f>
        <v>36499.999999999985</v>
      </c>
    </row>
    <row r="44" spans="1:10">
      <c r="A44" s="74">
        <v>43438</v>
      </c>
      <c r="C44">
        <v>36</v>
      </c>
      <c r="D44">
        <f t="shared" ref="D44:D62" si="12">C44*200</f>
        <v>7200</v>
      </c>
      <c r="F44">
        <v>19.199999999999989</v>
      </c>
      <c r="G44">
        <f t="shared" ref="G44:G62" si="13">F44*2000</f>
        <v>38399.999999999978</v>
      </c>
      <c r="I44">
        <f t="shared" si="10"/>
        <v>45599.999999999978</v>
      </c>
      <c r="J44">
        <f t="shared" si="11"/>
        <v>82099.999999999971</v>
      </c>
    </row>
    <row r="45" spans="1:10">
      <c r="A45" s="74">
        <v>43439</v>
      </c>
      <c r="C45">
        <v>-19</v>
      </c>
      <c r="D45">
        <f t="shared" si="12"/>
        <v>-3800</v>
      </c>
      <c r="F45">
        <v>57.9</v>
      </c>
      <c r="G45">
        <f t="shared" si="13"/>
        <v>115800</v>
      </c>
      <c r="I45">
        <f t="shared" si="10"/>
        <v>112000</v>
      </c>
      <c r="J45">
        <f t="shared" si="11"/>
        <v>194099.99999999997</v>
      </c>
    </row>
    <row r="46" spans="1:10">
      <c r="A46" s="74">
        <v>43440</v>
      </c>
      <c r="C46">
        <v>-17</v>
      </c>
      <c r="D46">
        <f t="shared" si="12"/>
        <v>-3400</v>
      </c>
      <c r="F46">
        <v>-24.750000000000028</v>
      </c>
      <c r="G46">
        <f t="shared" si="13"/>
        <v>-49500.000000000058</v>
      </c>
      <c r="I46">
        <f t="shared" si="10"/>
        <v>-52900.000000000058</v>
      </c>
      <c r="J46">
        <f t="shared" si="11"/>
        <v>141199.99999999991</v>
      </c>
    </row>
    <row r="47" spans="1:10">
      <c r="A47" s="74">
        <v>43441</v>
      </c>
      <c r="C47">
        <v>264</v>
      </c>
      <c r="D47">
        <f t="shared" si="12"/>
        <v>52800</v>
      </c>
      <c r="F47">
        <v>14.620000000000005</v>
      </c>
      <c r="G47">
        <f t="shared" si="13"/>
        <v>29240.000000000007</v>
      </c>
      <c r="I47">
        <f t="shared" si="10"/>
        <v>82040</v>
      </c>
      <c r="J47">
        <f t="shared" si="11"/>
        <v>223239.99999999991</v>
      </c>
    </row>
    <row r="48" spans="1:10">
      <c r="A48" s="74">
        <v>43141</v>
      </c>
      <c r="C48">
        <v>-92</v>
      </c>
      <c r="D48">
        <f t="shared" si="12"/>
        <v>-18400</v>
      </c>
      <c r="F48">
        <v>-54.5</v>
      </c>
      <c r="G48">
        <f t="shared" si="13"/>
        <v>-109000</v>
      </c>
      <c r="I48">
        <f t="shared" si="10"/>
        <v>-127400</v>
      </c>
      <c r="J48">
        <f t="shared" si="11"/>
        <v>95839.999999999913</v>
      </c>
    </row>
    <row r="49" spans="1:15">
      <c r="A49" s="74">
        <v>43445</v>
      </c>
      <c r="C49">
        <v>487</v>
      </c>
      <c r="D49">
        <f t="shared" si="12"/>
        <v>97400</v>
      </c>
      <c r="F49">
        <v>103.86000000000001</v>
      </c>
      <c r="G49">
        <f t="shared" si="13"/>
        <v>207720.00000000003</v>
      </c>
      <c r="I49">
        <f t="shared" si="10"/>
        <v>305120</v>
      </c>
      <c r="J49">
        <f t="shared" si="11"/>
        <v>400959.99999999988</v>
      </c>
    </row>
    <row r="50" spans="1:15">
      <c r="A50" s="74">
        <v>43446</v>
      </c>
      <c r="C50">
        <v>260</v>
      </c>
      <c r="D50">
        <f t="shared" si="12"/>
        <v>52000</v>
      </c>
      <c r="F50">
        <v>16.149999999999999</v>
      </c>
      <c r="G50">
        <f t="shared" si="13"/>
        <v>32299.999999999996</v>
      </c>
      <c r="I50">
        <f t="shared" si="10"/>
        <v>84300</v>
      </c>
      <c r="J50">
        <f t="shared" si="11"/>
        <v>485259.99999999988</v>
      </c>
    </row>
    <row r="51" spans="1:15">
      <c r="A51" s="74">
        <v>43447</v>
      </c>
      <c r="C51">
        <v>93</v>
      </c>
      <c r="D51">
        <f t="shared" si="12"/>
        <v>18600</v>
      </c>
      <c r="F51">
        <v>-18.399999999999977</v>
      </c>
      <c r="G51">
        <f t="shared" si="13"/>
        <v>-36799.999999999956</v>
      </c>
      <c r="I51">
        <f t="shared" si="10"/>
        <v>-18199.999999999956</v>
      </c>
      <c r="J51">
        <f t="shared" si="11"/>
        <v>467059.99999999994</v>
      </c>
    </row>
    <row r="52" spans="1:15">
      <c r="A52" s="74">
        <v>43448</v>
      </c>
      <c r="C52">
        <v>59</v>
      </c>
      <c r="D52">
        <f t="shared" si="12"/>
        <v>11800</v>
      </c>
      <c r="F52">
        <v>20.100000000000023</v>
      </c>
      <c r="G52">
        <f t="shared" si="13"/>
        <v>40200.000000000044</v>
      </c>
      <c r="I52">
        <f t="shared" si="10"/>
        <v>52000.000000000044</v>
      </c>
      <c r="J52">
        <f t="shared" si="11"/>
        <v>519060</v>
      </c>
    </row>
    <row r="53" spans="1:15">
      <c r="A53" s="74">
        <v>43451</v>
      </c>
      <c r="C53">
        <v>54</v>
      </c>
      <c r="D53">
        <f t="shared" si="12"/>
        <v>10800</v>
      </c>
      <c r="F53">
        <v>3.4500000000000028</v>
      </c>
      <c r="G53">
        <f t="shared" si="13"/>
        <v>6900.0000000000055</v>
      </c>
      <c r="I53">
        <f t="shared" si="10"/>
        <v>17700.000000000007</v>
      </c>
      <c r="J53">
        <f t="shared" si="11"/>
        <v>536760</v>
      </c>
    </row>
    <row r="54" spans="1:15">
      <c r="A54" s="74">
        <v>43452</v>
      </c>
      <c r="C54">
        <v>-113</v>
      </c>
      <c r="D54">
        <f t="shared" si="12"/>
        <v>-22600</v>
      </c>
      <c r="F54">
        <v>-6.3999999999999915</v>
      </c>
      <c r="G54">
        <f t="shared" si="13"/>
        <v>-12799.999999999984</v>
      </c>
      <c r="I54">
        <f t="shared" si="10"/>
        <v>-35399.999999999985</v>
      </c>
      <c r="J54">
        <f t="shared" si="11"/>
        <v>501360</v>
      </c>
    </row>
    <row r="55" spans="1:15">
      <c r="A55" s="74">
        <v>43453</v>
      </c>
      <c r="C55">
        <v>-16</v>
      </c>
      <c r="D55">
        <f t="shared" si="12"/>
        <v>-3200</v>
      </c>
      <c r="F55">
        <v>5.9500000000000028</v>
      </c>
      <c r="G55">
        <f t="shared" si="13"/>
        <v>11900.000000000005</v>
      </c>
      <c r="I55">
        <f t="shared" si="10"/>
        <v>8700.0000000000055</v>
      </c>
      <c r="J55">
        <f t="shared" si="11"/>
        <v>510060</v>
      </c>
    </row>
    <row r="56" spans="1:15">
      <c r="A56" s="74">
        <v>43454</v>
      </c>
      <c r="C56">
        <v>-77</v>
      </c>
      <c r="D56">
        <f t="shared" si="12"/>
        <v>-15400</v>
      </c>
      <c r="F56">
        <v>-5.9000000000000057</v>
      </c>
      <c r="G56">
        <f t="shared" si="13"/>
        <v>-11800.000000000011</v>
      </c>
      <c r="I56">
        <f t="shared" si="10"/>
        <v>-27200.000000000011</v>
      </c>
      <c r="J56">
        <f t="shared" si="11"/>
        <v>482860</v>
      </c>
    </row>
    <row r="57" spans="1:15">
      <c r="A57" s="74">
        <v>43455</v>
      </c>
      <c r="C57">
        <v>-200</v>
      </c>
      <c r="D57">
        <f t="shared" si="12"/>
        <v>-40000</v>
      </c>
      <c r="F57">
        <v>-22.25</v>
      </c>
      <c r="G57">
        <f t="shared" si="13"/>
        <v>-44500</v>
      </c>
      <c r="I57">
        <f t="shared" si="10"/>
        <v>-84500</v>
      </c>
      <c r="J57">
        <f t="shared" si="11"/>
        <v>398360</v>
      </c>
    </row>
    <row r="58" spans="1:15">
      <c r="A58" s="74">
        <v>43458</v>
      </c>
      <c r="C58">
        <v>194</v>
      </c>
      <c r="D58">
        <f t="shared" si="12"/>
        <v>38800</v>
      </c>
      <c r="F58">
        <v>23.160000000000011</v>
      </c>
      <c r="G58">
        <f t="shared" si="13"/>
        <v>46320.000000000022</v>
      </c>
      <c r="I58">
        <f t="shared" si="10"/>
        <v>85120.000000000029</v>
      </c>
      <c r="J58">
        <f t="shared" si="11"/>
        <v>483480</v>
      </c>
      <c r="M58" t="s">
        <v>83</v>
      </c>
      <c r="N58" t="s">
        <v>78</v>
      </c>
      <c r="O58" t="s">
        <v>79</v>
      </c>
    </row>
    <row r="59" spans="1:15">
      <c r="A59" s="74">
        <v>43460</v>
      </c>
      <c r="C59">
        <v>-128</v>
      </c>
      <c r="D59">
        <f t="shared" si="12"/>
        <v>-25600</v>
      </c>
      <c r="F59">
        <v>-27.599999999999998</v>
      </c>
      <c r="G59">
        <f t="shared" si="13"/>
        <v>-55199.999999999993</v>
      </c>
      <c r="I59">
        <f t="shared" si="10"/>
        <v>-80800</v>
      </c>
      <c r="J59">
        <f t="shared" si="11"/>
        <v>402680</v>
      </c>
    </row>
    <row r="60" spans="1:15">
      <c r="A60" s="74">
        <v>43461</v>
      </c>
      <c r="C60">
        <v>289</v>
      </c>
      <c r="D60">
        <f t="shared" si="12"/>
        <v>57800</v>
      </c>
      <c r="F60">
        <v>19.899999999999977</v>
      </c>
      <c r="G60">
        <f t="shared" si="13"/>
        <v>39799.999999999956</v>
      </c>
      <c r="I60">
        <f t="shared" si="10"/>
        <v>97599.999999999956</v>
      </c>
      <c r="J60">
        <f t="shared" si="11"/>
        <v>500279.99999999994</v>
      </c>
      <c r="L60" t="s">
        <v>80</v>
      </c>
      <c r="M60">
        <f>AVERAGE(I43:I62)</f>
        <v>27723</v>
      </c>
      <c r="N60">
        <f>STDEV(I43:I62)</f>
        <v>92872.5975732347</v>
      </c>
      <c r="O60">
        <f>M60/N60</f>
        <v>0.29850570269814003</v>
      </c>
    </row>
    <row r="61" spans="1:15">
      <c r="A61" s="74">
        <v>43462</v>
      </c>
      <c r="C61">
        <v>13</v>
      </c>
      <c r="D61">
        <f t="shared" si="12"/>
        <v>2600</v>
      </c>
      <c r="F61">
        <v>11.29</v>
      </c>
      <c r="G61">
        <f t="shared" si="13"/>
        <v>22580</v>
      </c>
      <c r="I61">
        <f t="shared" si="10"/>
        <v>25180</v>
      </c>
      <c r="J61">
        <f t="shared" si="11"/>
        <v>525460</v>
      </c>
      <c r="L61" t="s">
        <v>85</v>
      </c>
      <c r="M61">
        <f>AVERAGE(D43:D62)</f>
        <v>10690</v>
      </c>
      <c r="N61">
        <f>STDEV(D43:D62)</f>
        <v>33729.854026241781</v>
      </c>
      <c r="O61">
        <f t="shared" ref="O61:O62" si="14">M61/N61</f>
        <v>0.31692992183373203</v>
      </c>
    </row>
    <row r="62" spans="1:15">
      <c r="A62" s="74">
        <v>43465</v>
      </c>
      <c r="C62">
        <v>11</v>
      </c>
      <c r="D62">
        <f t="shared" si="12"/>
        <v>2200</v>
      </c>
      <c r="F62">
        <v>13.400000000000006</v>
      </c>
      <c r="G62">
        <f t="shared" si="13"/>
        <v>26800.000000000011</v>
      </c>
      <c r="I62">
        <f t="shared" si="10"/>
        <v>29000.000000000011</v>
      </c>
      <c r="J62">
        <f t="shared" si="11"/>
        <v>554460</v>
      </c>
      <c r="L62" t="s">
        <v>86</v>
      </c>
      <c r="M62">
        <f>AVERAGE(G43:G62)</f>
        <v>17033</v>
      </c>
      <c r="N62">
        <f>STDEV(G43:G62)</f>
        <v>66370.448806203232</v>
      </c>
      <c r="O62">
        <f t="shared" si="14"/>
        <v>0.25663529938956858</v>
      </c>
    </row>
    <row r="65" spans="1:10">
      <c r="A65" s="74">
        <v>43466</v>
      </c>
      <c r="C65">
        <v>267</v>
      </c>
      <c r="D65">
        <f t="shared" ref="D65:D87" si="15">C65*200</f>
        <v>53400</v>
      </c>
      <c r="F65">
        <v>14.06</v>
      </c>
      <c r="G65">
        <f t="shared" ref="G65:G87" si="16">F65*2000</f>
        <v>28120</v>
      </c>
      <c r="I65">
        <f t="shared" ref="I65:I87" si="17">D65+G65</f>
        <v>81520</v>
      </c>
      <c r="J65">
        <f t="shared" ref="J65:J87" si="18">I65+J64</f>
        <v>81520</v>
      </c>
    </row>
    <row r="66" spans="1:10">
      <c r="A66" s="74">
        <v>43467</v>
      </c>
      <c r="C66">
        <v>-100</v>
      </c>
      <c r="D66">
        <f t="shared" si="15"/>
        <v>-20000</v>
      </c>
      <c r="F66">
        <v>-10.019999999999996</v>
      </c>
      <c r="G66">
        <f t="shared" si="16"/>
        <v>-20039.999999999993</v>
      </c>
      <c r="I66">
        <f t="shared" si="17"/>
        <v>-40039.999999999993</v>
      </c>
      <c r="J66">
        <f t="shared" si="18"/>
        <v>41480.000000000007</v>
      </c>
    </row>
    <row r="67" spans="1:10">
      <c r="A67" s="74">
        <v>43468</v>
      </c>
      <c r="C67">
        <v>106</v>
      </c>
      <c r="D67">
        <f t="shared" si="15"/>
        <v>21200</v>
      </c>
      <c r="F67">
        <v>29.450000000000017</v>
      </c>
      <c r="G67">
        <f t="shared" si="16"/>
        <v>58900.000000000036</v>
      </c>
      <c r="I67">
        <f t="shared" si="17"/>
        <v>80100.000000000029</v>
      </c>
      <c r="J67">
        <f t="shared" si="18"/>
        <v>121580.00000000003</v>
      </c>
    </row>
    <row r="68" spans="1:10">
      <c r="A68" s="74">
        <v>43469</v>
      </c>
      <c r="C68">
        <v>41</v>
      </c>
      <c r="D68">
        <f t="shared" si="15"/>
        <v>8200</v>
      </c>
      <c r="F68">
        <v>8.5499999999999972</v>
      </c>
      <c r="G68">
        <f t="shared" si="16"/>
        <v>17099.999999999993</v>
      </c>
      <c r="I68">
        <f t="shared" si="17"/>
        <v>25299.999999999993</v>
      </c>
      <c r="J68">
        <f t="shared" si="18"/>
        <v>146880.00000000003</v>
      </c>
    </row>
    <row r="69" spans="1:10">
      <c r="A69" s="74">
        <v>43472</v>
      </c>
      <c r="C69">
        <v>77</v>
      </c>
      <c r="D69">
        <f t="shared" si="15"/>
        <v>15400</v>
      </c>
      <c r="F69">
        <v>7.0999999999999943</v>
      </c>
      <c r="G69">
        <f t="shared" si="16"/>
        <v>14199.999999999989</v>
      </c>
      <c r="I69">
        <f t="shared" si="17"/>
        <v>29599.999999999989</v>
      </c>
      <c r="J69">
        <f t="shared" si="18"/>
        <v>176480.00000000003</v>
      </c>
    </row>
    <row r="70" spans="1:10">
      <c r="A70" s="74">
        <v>43473</v>
      </c>
      <c r="C70">
        <v>300</v>
      </c>
      <c r="D70">
        <f t="shared" si="15"/>
        <v>60000</v>
      </c>
      <c r="F70">
        <v>-12.149999999999984</v>
      </c>
      <c r="G70">
        <f t="shared" si="16"/>
        <v>-24299.999999999967</v>
      </c>
      <c r="I70">
        <f t="shared" si="17"/>
        <v>35700.000000000029</v>
      </c>
      <c r="J70">
        <f t="shared" si="18"/>
        <v>212180.00000000006</v>
      </c>
    </row>
    <row r="71" spans="1:10">
      <c r="A71" s="74">
        <v>43474</v>
      </c>
      <c r="C71">
        <v>-47</v>
      </c>
      <c r="D71">
        <f t="shared" si="15"/>
        <v>-9400</v>
      </c>
      <c r="F71">
        <v>6.45</v>
      </c>
      <c r="G71">
        <f t="shared" si="16"/>
        <v>12900</v>
      </c>
      <c r="I71">
        <f t="shared" si="17"/>
        <v>3500</v>
      </c>
      <c r="J71">
        <f t="shared" si="18"/>
        <v>215680.00000000006</v>
      </c>
    </row>
    <row r="72" spans="1:10">
      <c r="A72" s="74">
        <v>43475</v>
      </c>
      <c r="C72">
        <v>-108</v>
      </c>
      <c r="D72">
        <f t="shared" si="15"/>
        <v>-21600</v>
      </c>
      <c r="F72">
        <v>21.700000000000003</v>
      </c>
      <c r="G72">
        <f t="shared" si="16"/>
        <v>43400.000000000007</v>
      </c>
      <c r="I72">
        <f t="shared" si="17"/>
        <v>21800.000000000007</v>
      </c>
      <c r="J72">
        <f t="shared" si="18"/>
        <v>237480.00000000006</v>
      </c>
    </row>
    <row r="73" spans="1:10">
      <c r="A73" s="74">
        <v>43476</v>
      </c>
      <c r="C73">
        <v>-63</v>
      </c>
      <c r="D73">
        <f t="shared" si="15"/>
        <v>-12600</v>
      </c>
      <c r="F73">
        <v>7.1500000000000199</v>
      </c>
      <c r="G73">
        <f t="shared" si="16"/>
        <v>14300.00000000004</v>
      </c>
      <c r="I73">
        <f t="shared" si="17"/>
        <v>1700.00000000004</v>
      </c>
      <c r="J73">
        <f t="shared" si="18"/>
        <v>239180.00000000009</v>
      </c>
    </row>
    <row r="74" spans="1:10">
      <c r="A74" s="74">
        <v>43479</v>
      </c>
      <c r="C74">
        <v>-2</v>
      </c>
      <c r="D74">
        <f t="shared" si="15"/>
        <v>-400</v>
      </c>
      <c r="F74">
        <v>24.20000000000001</v>
      </c>
      <c r="G74">
        <f t="shared" si="16"/>
        <v>48400.000000000022</v>
      </c>
      <c r="I74">
        <f t="shared" si="17"/>
        <v>48000.000000000022</v>
      </c>
      <c r="J74">
        <f t="shared" si="18"/>
        <v>287180.00000000012</v>
      </c>
    </row>
    <row r="75" spans="1:10">
      <c r="A75" s="74">
        <v>43480</v>
      </c>
      <c r="C75">
        <v>-31</v>
      </c>
      <c r="D75">
        <f t="shared" si="15"/>
        <v>-6200</v>
      </c>
      <c r="F75">
        <v>11.7</v>
      </c>
      <c r="G75">
        <f t="shared" si="16"/>
        <v>23400</v>
      </c>
      <c r="I75">
        <f t="shared" si="17"/>
        <v>17200</v>
      </c>
      <c r="J75">
        <f t="shared" si="18"/>
        <v>304380.00000000012</v>
      </c>
    </row>
    <row r="76" spans="1:10">
      <c r="A76" s="74">
        <v>43481</v>
      </c>
      <c r="C76">
        <v>-21</v>
      </c>
      <c r="D76">
        <f t="shared" si="15"/>
        <v>-4200</v>
      </c>
      <c r="F76">
        <v>23</v>
      </c>
      <c r="G76">
        <f t="shared" si="16"/>
        <v>46000</v>
      </c>
      <c r="I76">
        <f t="shared" si="17"/>
        <v>41800</v>
      </c>
      <c r="J76">
        <f t="shared" si="18"/>
        <v>346180.00000000012</v>
      </c>
    </row>
    <row r="77" spans="1:10">
      <c r="A77" s="74">
        <v>43482</v>
      </c>
      <c r="C77">
        <v>10</v>
      </c>
      <c r="D77">
        <f t="shared" si="15"/>
        <v>2000</v>
      </c>
      <c r="F77">
        <v>10.949999999999989</v>
      </c>
      <c r="G77">
        <f t="shared" si="16"/>
        <v>21899.999999999978</v>
      </c>
      <c r="I77">
        <f t="shared" si="17"/>
        <v>23899.999999999978</v>
      </c>
      <c r="J77">
        <f t="shared" si="18"/>
        <v>370080.00000000012</v>
      </c>
    </row>
    <row r="78" spans="1:10">
      <c r="A78" s="74">
        <v>43483</v>
      </c>
      <c r="C78">
        <v>2</v>
      </c>
      <c r="D78">
        <f t="shared" si="15"/>
        <v>400</v>
      </c>
      <c r="F78">
        <v>11.000000000000014</v>
      </c>
      <c r="G78">
        <f t="shared" si="16"/>
        <v>22000.000000000029</v>
      </c>
      <c r="I78">
        <f t="shared" si="17"/>
        <v>22400.000000000029</v>
      </c>
      <c r="J78">
        <f t="shared" si="18"/>
        <v>392480.00000000012</v>
      </c>
    </row>
    <row r="79" spans="1:10">
      <c r="A79" s="74">
        <v>43486</v>
      </c>
      <c r="C79">
        <v>-10</v>
      </c>
      <c r="D79">
        <f t="shared" si="15"/>
        <v>-2000</v>
      </c>
      <c r="F79">
        <v>-13.699999999999974</v>
      </c>
      <c r="G79">
        <f t="shared" si="16"/>
        <v>-27399.999999999949</v>
      </c>
      <c r="I79">
        <f t="shared" si="17"/>
        <v>-29399.999999999949</v>
      </c>
      <c r="J79">
        <f t="shared" si="18"/>
        <v>363080.00000000017</v>
      </c>
    </row>
    <row r="80" spans="1:10">
      <c r="A80" s="74">
        <v>43487</v>
      </c>
      <c r="C80">
        <v>31</v>
      </c>
      <c r="D80">
        <f t="shared" si="15"/>
        <v>6200</v>
      </c>
      <c r="F80">
        <v>21.249999999999993</v>
      </c>
      <c r="G80">
        <f t="shared" si="16"/>
        <v>42499.999999999985</v>
      </c>
      <c r="I80">
        <f t="shared" si="17"/>
        <v>48699.999999999985</v>
      </c>
      <c r="J80">
        <f t="shared" si="18"/>
        <v>411780.00000000017</v>
      </c>
    </row>
    <row r="81" spans="1:15">
      <c r="A81" s="74">
        <v>43488</v>
      </c>
      <c r="C81">
        <v>-28</v>
      </c>
      <c r="D81">
        <f t="shared" si="15"/>
        <v>-5600</v>
      </c>
      <c r="F81">
        <v>1.1000000000000001</v>
      </c>
      <c r="G81">
        <f t="shared" si="16"/>
        <v>2200</v>
      </c>
      <c r="I81">
        <f t="shared" si="17"/>
        <v>-3400</v>
      </c>
      <c r="J81">
        <f t="shared" si="18"/>
        <v>408380.00000000017</v>
      </c>
    </row>
    <row r="82" spans="1:15">
      <c r="A82" s="74">
        <v>43489</v>
      </c>
      <c r="C82">
        <v>83</v>
      </c>
      <c r="D82">
        <f t="shared" si="15"/>
        <v>16600</v>
      </c>
      <c r="F82">
        <v>44.65000000000002</v>
      </c>
      <c r="G82">
        <f t="shared" si="16"/>
        <v>89300.000000000044</v>
      </c>
      <c r="I82">
        <f t="shared" si="17"/>
        <v>105900.00000000004</v>
      </c>
      <c r="J82">
        <f t="shared" si="18"/>
        <v>514280.00000000023</v>
      </c>
    </row>
    <row r="83" spans="1:15">
      <c r="A83" s="74">
        <v>43490</v>
      </c>
      <c r="C83">
        <v>319</v>
      </c>
      <c r="D83">
        <f t="shared" si="15"/>
        <v>63800</v>
      </c>
      <c r="F83">
        <v>1.0000000000000284</v>
      </c>
      <c r="G83">
        <f t="shared" si="16"/>
        <v>2000.0000000000568</v>
      </c>
      <c r="I83">
        <f t="shared" si="17"/>
        <v>65800.000000000058</v>
      </c>
      <c r="J83">
        <f t="shared" si="18"/>
        <v>580080.00000000023</v>
      </c>
    </row>
    <row r="84" spans="1:15">
      <c r="A84" s="74">
        <v>43493</v>
      </c>
      <c r="C84">
        <v>445</v>
      </c>
      <c r="D84">
        <f t="shared" si="15"/>
        <v>89000</v>
      </c>
      <c r="F84">
        <v>-40.52000000000001</v>
      </c>
      <c r="G84">
        <f t="shared" si="16"/>
        <v>-81040.000000000015</v>
      </c>
      <c r="I84">
        <f t="shared" si="17"/>
        <v>7959.9999999999854</v>
      </c>
      <c r="J84">
        <f t="shared" si="18"/>
        <v>588040.00000000023</v>
      </c>
      <c r="L84" t="s">
        <v>80</v>
      </c>
      <c r="M84">
        <f>AVERAGE(I65:I87)</f>
        <v>35895.652173913055</v>
      </c>
      <c r="N84">
        <f>STDEV(I65:I87)</f>
        <v>38261.706922206053</v>
      </c>
      <c r="O84">
        <f>M84/N84</f>
        <v>0.93816128608418659</v>
      </c>
    </row>
    <row r="85" spans="1:15">
      <c r="A85" s="74">
        <v>43494</v>
      </c>
      <c r="C85">
        <v>149</v>
      </c>
      <c r="D85">
        <f t="shared" si="15"/>
        <v>29800</v>
      </c>
      <c r="F85">
        <v>35.5</v>
      </c>
      <c r="G85">
        <f t="shared" si="16"/>
        <v>71000</v>
      </c>
      <c r="I85">
        <f t="shared" si="17"/>
        <v>100800</v>
      </c>
      <c r="J85">
        <f t="shared" si="18"/>
        <v>688840.00000000023</v>
      </c>
      <c r="L85" t="s">
        <v>85</v>
      </c>
      <c r="M85">
        <f>AVERAGE(D65:D87)</f>
        <v>15826.08695652174</v>
      </c>
      <c r="N85">
        <f>STDEV(D65:D87)</f>
        <v>30696.183022876201</v>
      </c>
      <c r="O85">
        <f t="shared" ref="O85:O86" si="19">M85/N85</f>
        <v>0.51557182027248849</v>
      </c>
    </row>
    <row r="86" spans="1:15">
      <c r="A86" s="74">
        <v>43495</v>
      </c>
      <c r="C86">
        <v>55</v>
      </c>
      <c r="D86">
        <f t="shared" si="15"/>
        <v>11000</v>
      </c>
      <c r="F86">
        <v>25</v>
      </c>
      <c r="G86">
        <f t="shared" si="16"/>
        <v>50000</v>
      </c>
      <c r="I86">
        <f t="shared" si="17"/>
        <v>61000</v>
      </c>
      <c r="J86">
        <f t="shared" si="18"/>
        <v>749840.00000000023</v>
      </c>
      <c r="L86" t="s">
        <v>86</v>
      </c>
      <c r="M86">
        <f>AVERAGE(G65:G87)</f>
        <v>20069.565217391315</v>
      </c>
      <c r="N86">
        <f>STDEV(G65:G87)</f>
        <v>36556.732930195554</v>
      </c>
      <c r="O86">
        <f t="shared" si="19"/>
        <v>0.5489977798539547</v>
      </c>
    </row>
    <row r="87" spans="1:15">
      <c r="A87" s="74">
        <v>43496</v>
      </c>
      <c r="C87">
        <v>345</v>
      </c>
      <c r="D87">
        <f t="shared" si="15"/>
        <v>69000</v>
      </c>
      <c r="F87">
        <v>3.3799999999999812</v>
      </c>
      <c r="G87">
        <f t="shared" si="16"/>
        <v>6759.9999999999627</v>
      </c>
      <c r="I87">
        <f t="shared" si="17"/>
        <v>75759.999999999956</v>
      </c>
      <c r="J87">
        <f t="shared" si="18"/>
        <v>825600.00000000023</v>
      </c>
    </row>
    <row r="90" spans="1:15">
      <c r="A90" s="74">
        <v>43497</v>
      </c>
      <c r="C90">
        <v>-50</v>
      </c>
      <c r="D90">
        <f t="shared" ref="D90:D109" si="20">C90*200</f>
        <v>-10000</v>
      </c>
      <c r="F90">
        <v>-11.919999999999973</v>
      </c>
      <c r="G90">
        <f t="shared" ref="G90:G109" si="21">F90*2000</f>
        <v>-23839.999999999945</v>
      </c>
      <c r="I90">
        <f t="shared" ref="I90" si="22">D90+G90</f>
        <v>-33839.999999999942</v>
      </c>
      <c r="J90">
        <f t="shared" ref="J90" si="23">I90+J89</f>
        <v>-33839.999999999942</v>
      </c>
    </row>
    <row r="91" spans="1:15">
      <c r="A91" s="74">
        <v>43500</v>
      </c>
      <c r="C91">
        <v>291</v>
      </c>
      <c r="D91">
        <f t="shared" si="20"/>
        <v>58200</v>
      </c>
      <c r="F91">
        <v>-31.549999999999997</v>
      </c>
      <c r="G91">
        <f t="shared" si="21"/>
        <v>-63099.999999999993</v>
      </c>
      <c r="I91">
        <f t="shared" ref="I91:I109" si="24">D91+G91</f>
        <v>-4899.9999999999927</v>
      </c>
      <c r="J91">
        <f t="shared" ref="J91:J109" si="25">I91+J90</f>
        <v>-38739.999999999935</v>
      </c>
    </row>
    <row r="92" spans="1:15">
      <c r="A92" s="74">
        <v>43501</v>
      </c>
      <c r="C92">
        <v>68</v>
      </c>
      <c r="D92">
        <f t="shared" si="20"/>
        <v>13600</v>
      </c>
      <c r="F92">
        <v>15.600000000000009</v>
      </c>
      <c r="G92">
        <f t="shared" si="21"/>
        <v>31200.000000000018</v>
      </c>
      <c r="I92">
        <f t="shared" si="24"/>
        <v>44800.000000000015</v>
      </c>
      <c r="J92">
        <f t="shared" si="25"/>
        <v>6060.00000000008</v>
      </c>
    </row>
    <row r="93" spans="1:15">
      <c r="A93" s="74">
        <v>43502</v>
      </c>
      <c r="C93">
        <v>32</v>
      </c>
      <c r="D93">
        <f t="shared" si="20"/>
        <v>6400</v>
      </c>
      <c r="F93">
        <v>35.049999999999997</v>
      </c>
      <c r="G93">
        <f t="shared" si="21"/>
        <v>70100</v>
      </c>
      <c r="I93">
        <f t="shared" si="24"/>
        <v>76500</v>
      </c>
      <c r="J93">
        <f t="shared" si="25"/>
        <v>82560.000000000087</v>
      </c>
    </row>
    <row r="94" spans="1:15">
      <c r="A94" s="74">
        <v>43503</v>
      </c>
      <c r="C94">
        <v>-95</v>
      </c>
      <c r="D94">
        <f t="shared" si="20"/>
        <v>-19000</v>
      </c>
      <c r="F94">
        <v>24.59</v>
      </c>
      <c r="G94">
        <f t="shared" si="21"/>
        <v>49180</v>
      </c>
      <c r="I94">
        <f t="shared" si="24"/>
        <v>30180</v>
      </c>
      <c r="J94">
        <f t="shared" si="25"/>
        <v>112740.00000000009</v>
      </c>
    </row>
    <row r="95" spans="1:15">
      <c r="A95" s="74">
        <v>43504</v>
      </c>
      <c r="C95">
        <v>159</v>
      </c>
      <c r="D95">
        <f t="shared" si="20"/>
        <v>31800</v>
      </c>
      <c r="F95">
        <v>-5.0500000000000256</v>
      </c>
      <c r="G95">
        <f t="shared" si="21"/>
        <v>-10100.000000000051</v>
      </c>
      <c r="I95">
        <f t="shared" si="24"/>
        <v>21699.999999999949</v>
      </c>
      <c r="J95">
        <f t="shared" si="25"/>
        <v>134440.00000000003</v>
      </c>
    </row>
    <row r="96" spans="1:15">
      <c r="A96" s="74">
        <v>43507</v>
      </c>
      <c r="C96">
        <v>16</v>
      </c>
      <c r="D96">
        <f t="shared" si="20"/>
        <v>3200</v>
      </c>
      <c r="F96">
        <v>25.29999999999999</v>
      </c>
      <c r="G96">
        <f t="shared" si="21"/>
        <v>50599.999999999978</v>
      </c>
      <c r="I96">
        <f t="shared" si="24"/>
        <v>53799.999999999978</v>
      </c>
      <c r="J96">
        <f t="shared" si="25"/>
        <v>188240</v>
      </c>
    </row>
    <row r="97" spans="1:15">
      <c r="A97" s="74">
        <v>43508</v>
      </c>
      <c r="C97">
        <v>196</v>
      </c>
      <c r="D97">
        <f t="shared" si="20"/>
        <v>39200</v>
      </c>
      <c r="F97">
        <v>-4.5</v>
      </c>
      <c r="G97">
        <f t="shared" si="21"/>
        <v>-9000</v>
      </c>
      <c r="I97">
        <f t="shared" si="24"/>
        <v>30200</v>
      </c>
      <c r="J97">
        <f t="shared" si="25"/>
        <v>218440</v>
      </c>
    </row>
    <row r="98" spans="1:15">
      <c r="A98" s="74">
        <v>43509</v>
      </c>
      <c r="C98">
        <v>106</v>
      </c>
      <c r="D98">
        <f t="shared" si="20"/>
        <v>21200</v>
      </c>
      <c r="F98">
        <v>15.599999999999994</v>
      </c>
      <c r="G98">
        <f t="shared" si="21"/>
        <v>31199.999999999989</v>
      </c>
      <c r="I98">
        <f t="shared" si="24"/>
        <v>52399.999999999985</v>
      </c>
      <c r="J98">
        <f t="shared" si="25"/>
        <v>270840</v>
      </c>
    </row>
    <row r="99" spans="1:15">
      <c r="A99" s="74">
        <v>43510</v>
      </c>
      <c r="C99">
        <v>66</v>
      </c>
      <c r="D99">
        <f t="shared" si="20"/>
        <v>13200</v>
      </c>
      <c r="F99">
        <v>19.200000000000003</v>
      </c>
      <c r="G99">
        <f t="shared" si="21"/>
        <v>38400.000000000007</v>
      </c>
      <c r="I99">
        <f t="shared" si="24"/>
        <v>51600.000000000007</v>
      </c>
      <c r="J99">
        <f t="shared" si="25"/>
        <v>322440</v>
      </c>
    </row>
    <row r="100" spans="1:15">
      <c r="A100" s="74">
        <v>43511</v>
      </c>
      <c r="C100">
        <v>-200</v>
      </c>
      <c r="D100">
        <f t="shared" si="20"/>
        <v>-40000</v>
      </c>
      <c r="F100">
        <v>-50.86</v>
      </c>
      <c r="G100">
        <f t="shared" si="21"/>
        <v>-101720</v>
      </c>
      <c r="I100">
        <f t="shared" si="24"/>
        <v>-141720</v>
      </c>
      <c r="J100">
        <f t="shared" si="25"/>
        <v>180720</v>
      </c>
    </row>
    <row r="101" spans="1:15">
      <c r="A101" s="74">
        <v>43514</v>
      </c>
      <c r="C101">
        <v>82</v>
      </c>
      <c r="D101">
        <f t="shared" si="20"/>
        <v>16400</v>
      </c>
      <c r="F101">
        <v>26.449999999999989</v>
      </c>
      <c r="G101">
        <f t="shared" si="21"/>
        <v>52899.999999999978</v>
      </c>
      <c r="I101">
        <f t="shared" si="24"/>
        <v>69299.999999999971</v>
      </c>
      <c r="J101">
        <f t="shared" si="25"/>
        <v>250019.99999999997</v>
      </c>
    </row>
    <row r="102" spans="1:15">
      <c r="A102" s="74">
        <v>43515</v>
      </c>
      <c r="C102">
        <v>67</v>
      </c>
      <c r="D102">
        <f t="shared" si="20"/>
        <v>13400</v>
      </c>
      <c r="F102">
        <v>3.9499999999999886</v>
      </c>
      <c r="G102">
        <f t="shared" si="21"/>
        <v>7899.9999999999773</v>
      </c>
      <c r="I102">
        <f t="shared" si="24"/>
        <v>21299.999999999978</v>
      </c>
      <c r="J102">
        <f t="shared" si="25"/>
        <v>271319.99999999994</v>
      </c>
    </row>
    <row r="103" spans="1:15">
      <c r="A103" s="74">
        <v>43516</v>
      </c>
      <c r="C103">
        <v>-7</v>
      </c>
      <c r="D103">
        <f t="shared" si="20"/>
        <v>-1400</v>
      </c>
      <c r="F103">
        <v>19.749999999999996</v>
      </c>
      <c r="G103">
        <f t="shared" si="21"/>
        <v>39499.999999999993</v>
      </c>
      <c r="I103">
        <f t="shared" si="24"/>
        <v>38099.999999999993</v>
      </c>
      <c r="J103">
        <f t="shared" si="25"/>
        <v>309419.99999999994</v>
      </c>
    </row>
    <row r="104" spans="1:15">
      <c r="A104" s="74">
        <v>43517</v>
      </c>
      <c r="C104">
        <v>19</v>
      </c>
      <c r="D104">
        <f t="shared" si="20"/>
        <v>3800</v>
      </c>
      <c r="F104">
        <v>34.400000000000006</v>
      </c>
      <c r="G104">
        <f t="shared" si="21"/>
        <v>68800.000000000015</v>
      </c>
      <c r="I104">
        <f t="shared" si="24"/>
        <v>72600.000000000015</v>
      </c>
      <c r="J104">
        <f t="shared" si="25"/>
        <v>382019.99999999994</v>
      </c>
    </row>
    <row r="105" spans="1:15">
      <c r="A105" s="74">
        <v>43518</v>
      </c>
      <c r="C105">
        <v>71</v>
      </c>
      <c r="D105">
        <f t="shared" si="20"/>
        <v>14200</v>
      </c>
      <c r="F105">
        <v>31.199999999999989</v>
      </c>
      <c r="G105">
        <f t="shared" si="21"/>
        <v>62399.999999999978</v>
      </c>
      <c r="I105">
        <f t="shared" si="24"/>
        <v>76599.999999999971</v>
      </c>
      <c r="J105">
        <f t="shared" si="25"/>
        <v>458619.99999999988</v>
      </c>
    </row>
    <row r="106" spans="1:15">
      <c r="A106" s="74">
        <v>43521</v>
      </c>
      <c r="C106">
        <v>-128</v>
      </c>
      <c r="D106">
        <f t="shared" si="20"/>
        <v>-25600</v>
      </c>
      <c r="F106">
        <v>0.14999999999999147</v>
      </c>
      <c r="G106">
        <f t="shared" si="21"/>
        <v>299.99999999998295</v>
      </c>
      <c r="I106">
        <f t="shared" si="24"/>
        <v>-25300.000000000018</v>
      </c>
      <c r="J106">
        <f t="shared" si="25"/>
        <v>433319.99999999988</v>
      </c>
    </row>
    <row r="107" spans="1:15">
      <c r="A107" s="74">
        <v>43522</v>
      </c>
      <c r="C107">
        <v>26</v>
      </c>
      <c r="D107">
        <f t="shared" si="20"/>
        <v>5200</v>
      </c>
      <c r="F107">
        <v>21.35</v>
      </c>
      <c r="G107">
        <f t="shared" si="21"/>
        <v>42700</v>
      </c>
      <c r="I107">
        <f t="shared" si="24"/>
        <v>47900</v>
      </c>
      <c r="J107">
        <f t="shared" si="25"/>
        <v>481219.99999999988</v>
      </c>
      <c r="L107" t="s">
        <v>80</v>
      </c>
      <c r="M107">
        <f>AVERAGE(I90:I109)</f>
        <v>20020.999999999993</v>
      </c>
      <c r="N107">
        <f>STDEV(I90:I109)</f>
        <v>67218.507625269543</v>
      </c>
      <c r="O107">
        <f>M107/N107</f>
        <v>0.29784951655894054</v>
      </c>
    </row>
    <row r="108" spans="1:15">
      <c r="A108" s="74">
        <v>43523</v>
      </c>
      <c r="C108">
        <v>-157</v>
      </c>
      <c r="D108">
        <f t="shared" si="20"/>
        <v>-31400</v>
      </c>
      <c r="F108">
        <v>-65.849999999999994</v>
      </c>
      <c r="G108">
        <f t="shared" si="21"/>
        <v>-131700</v>
      </c>
      <c r="I108">
        <f t="shared" si="24"/>
        <v>-163100</v>
      </c>
      <c r="J108">
        <f t="shared" si="25"/>
        <v>318119.99999999988</v>
      </c>
      <c r="L108" t="s">
        <v>85</v>
      </c>
      <c r="M108">
        <f>AVERAGE(D90:D109)</f>
        <v>5350</v>
      </c>
      <c r="N108">
        <f>STDEV(D90:D109)</f>
        <v>23672.758049796616</v>
      </c>
      <c r="O108">
        <f t="shared" ref="O108:O109" si="26">M108/N108</f>
        <v>0.22599817007997361</v>
      </c>
    </row>
    <row r="109" spans="1:15">
      <c r="A109" s="74">
        <v>43524</v>
      </c>
      <c r="C109">
        <v>-27</v>
      </c>
      <c r="D109">
        <f t="shared" si="20"/>
        <v>-5400</v>
      </c>
      <c r="F109">
        <v>43.849999999999994</v>
      </c>
      <c r="G109">
        <f t="shared" si="21"/>
        <v>87699.999999999985</v>
      </c>
      <c r="I109">
        <f t="shared" si="24"/>
        <v>82299.999999999985</v>
      </c>
      <c r="J109">
        <f t="shared" si="25"/>
        <v>400419.99999999988</v>
      </c>
      <c r="L109" t="s">
        <v>86</v>
      </c>
      <c r="M109">
        <f>AVERAGE(G90:G109)</f>
        <v>14670.999999999996</v>
      </c>
      <c r="N109">
        <f>STDEV(G90:G109)</f>
        <v>58036.953554565014</v>
      </c>
      <c r="O109">
        <f t="shared" si="26"/>
        <v>0.25278721747871652</v>
      </c>
    </row>
    <row r="117" spans="5:5">
      <c r="E117" t="str">
        <f>'Price Automation'!A1</f>
        <v>31030.00_1648,65.60,148.95</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3"/>
  <dimension ref="A1:C1"/>
  <sheetViews>
    <sheetView workbookViewId="0"/>
  </sheetViews>
  <sheetFormatPr defaultRowHeight="12.75"/>
  <cols>
    <col min="1" max="1" width="25.28515625" bestFit="1" customWidth="1"/>
  </cols>
  <sheetData>
    <row r="1" spans="1:3">
      <c r="A1" t="s">
        <v>111</v>
      </c>
      <c r="B1" t="s">
        <v>109</v>
      </c>
      <c r="C1" t="s">
        <v>110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Notes</vt:lpstr>
      <vt:lpstr>Option Price Calculator</vt:lpstr>
      <vt:lpstr>Implied Volatility Calculator</vt:lpstr>
      <vt:lpstr>Sheet1</vt:lpstr>
      <vt:lpstr>Sheet2</vt:lpstr>
      <vt:lpstr>Price Automation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2014-06-07T11:38:46Z</dcterms:created>
  <dcterms:modified xsi:type="dcterms:W3CDTF">2019-06-12T21:31:59Z</dcterms:modified>
</cp:coreProperties>
</file>